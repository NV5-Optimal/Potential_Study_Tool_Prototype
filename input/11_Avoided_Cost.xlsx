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277" documentId="11_D6D74F8E03DABB52AC860ED093673A573CED4083" xr6:coauthVersionLast="47" xr6:coauthVersionMax="47" xr10:uidLastSave="{51D26EC6-54AA-4FF9-B3CC-005A99E99758}"/>
  <bookViews>
    <workbookView xWindow="57480" yWindow="-3420" windowWidth="29040" windowHeight="15720" xr2:uid="{00000000-000D-0000-FFFF-FFFF00000000}"/>
  </bookViews>
  <sheets>
    <sheet name="Input (AC)" sheetId="4" r:id="rId1"/>
    <sheet name="Input" sheetId="2" r:id="rId2"/>
    <sheet name="Originial" sheetId="1" r:id="rId3"/>
    <sheet name="GH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U7" i="2"/>
  <c r="V7" i="2"/>
  <c r="W7" i="2"/>
  <c r="X7" i="2"/>
  <c r="Y7" i="2"/>
  <c r="Z7" i="2"/>
  <c r="AA7" i="2"/>
  <c r="T8" i="2"/>
  <c r="U8" i="2"/>
  <c r="V8" i="2"/>
  <c r="W8" i="2"/>
  <c r="X8" i="2"/>
  <c r="Y8" i="2"/>
  <c r="Z8" i="2"/>
  <c r="AA8" i="2"/>
  <c r="S8" i="2"/>
  <c r="S7" i="2"/>
  <c r="W3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AC7" i="2"/>
  <c r="AD7" i="2"/>
  <c r="AE7" i="2"/>
  <c r="A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B7" i="2"/>
  <c r="R3" i="2"/>
  <c r="R7" i="2" s="1"/>
  <c r="S3" i="2"/>
  <c r="T3" i="2"/>
  <c r="U3" i="2"/>
  <c r="V3" i="2"/>
  <c r="X3" i="2"/>
  <c r="Y3" i="2"/>
  <c r="Z3" i="2"/>
  <c r="AA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J9" i="2"/>
  <c r="BK9" i="2"/>
  <c r="BL9" i="2"/>
  <c r="BM9" i="2"/>
  <c r="BN9" i="2"/>
  <c r="BO9" i="2"/>
  <c r="BP9" i="2"/>
  <c r="BQ9" i="2"/>
  <c r="BI9" i="2"/>
  <c r="BE9" i="2"/>
  <c r="BF9" i="2"/>
  <c r="BG9" i="2"/>
  <c r="BH9" i="2"/>
  <c r="BD9" i="2"/>
  <c r="AU10" i="2"/>
  <c r="AV10" i="2"/>
  <c r="AW10" i="2"/>
  <c r="AX10" i="2"/>
  <c r="AY10" i="2"/>
  <c r="AZ10" i="2"/>
  <c r="BA10" i="2"/>
  <c r="BB10" i="2"/>
  <c r="BC10" i="2"/>
  <c r="AU11" i="2"/>
  <c r="AV11" i="2"/>
  <c r="AW11" i="2"/>
  <c r="AX11" i="2"/>
  <c r="AY11" i="2"/>
  <c r="AZ11" i="2"/>
  <c r="BA11" i="2"/>
  <c r="BB11" i="2"/>
  <c r="BC11" i="2"/>
  <c r="AU12" i="2"/>
  <c r="AV12" i="2"/>
  <c r="AW12" i="2"/>
  <c r="AX12" i="2"/>
  <c r="AY12" i="2"/>
  <c r="AZ12" i="2"/>
  <c r="BA12" i="2"/>
  <c r="BB12" i="2"/>
  <c r="BC12" i="2"/>
  <c r="AU13" i="2"/>
  <c r="AV13" i="2"/>
  <c r="AW13" i="2"/>
  <c r="AX13" i="2"/>
  <c r="AY13" i="2"/>
  <c r="AZ13" i="2"/>
  <c r="BA13" i="2"/>
  <c r="BB13" i="2"/>
  <c r="BC13" i="2"/>
  <c r="AU14" i="2"/>
  <c r="AV14" i="2"/>
  <c r="AW14" i="2"/>
  <c r="AX14" i="2"/>
  <c r="AY14" i="2"/>
  <c r="AZ14" i="2"/>
  <c r="BA14" i="2"/>
  <c r="BB14" i="2"/>
  <c r="BC14" i="2"/>
  <c r="AU15" i="2"/>
  <c r="AV15" i="2"/>
  <c r="AW15" i="2"/>
  <c r="AX15" i="2"/>
  <c r="AY15" i="2"/>
  <c r="AZ15" i="2"/>
  <c r="BA15" i="2"/>
  <c r="BB15" i="2"/>
  <c r="BC15" i="2"/>
  <c r="AU16" i="2"/>
  <c r="AV16" i="2"/>
  <c r="AW16" i="2"/>
  <c r="AX16" i="2"/>
  <c r="AY16" i="2"/>
  <c r="AZ16" i="2"/>
  <c r="BA16" i="2"/>
  <c r="BB16" i="2"/>
  <c r="BC16" i="2"/>
  <c r="AU17" i="2"/>
  <c r="AV17" i="2"/>
  <c r="AW17" i="2"/>
  <c r="AX17" i="2"/>
  <c r="AY17" i="2"/>
  <c r="AZ17" i="2"/>
  <c r="BA17" i="2"/>
  <c r="BB17" i="2"/>
  <c r="BC17" i="2"/>
  <c r="AU18" i="2"/>
  <c r="AV18" i="2"/>
  <c r="AW18" i="2"/>
  <c r="AX18" i="2"/>
  <c r="AY18" i="2"/>
  <c r="AZ18" i="2"/>
  <c r="BA18" i="2"/>
  <c r="BB18" i="2"/>
  <c r="BC18" i="2"/>
  <c r="AU19" i="2"/>
  <c r="AV19" i="2"/>
  <c r="AW19" i="2"/>
  <c r="AX19" i="2"/>
  <c r="AY19" i="2"/>
  <c r="AZ19" i="2"/>
  <c r="BA19" i="2"/>
  <c r="BB19" i="2"/>
  <c r="BC19" i="2"/>
  <c r="AU20" i="2"/>
  <c r="AV20" i="2"/>
  <c r="AW20" i="2"/>
  <c r="AX20" i="2"/>
  <c r="AY20" i="2"/>
  <c r="AZ20" i="2"/>
  <c r="BA20" i="2"/>
  <c r="BB20" i="2"/>
  <c r="BC20" i="2"/>
  <c r="AU21" i="2"/>
  <c r="AV21" i="2"/>
  <c r="AW21" i="2"/>
  <c r="AX21" i="2"/>
  <c r="AY21" i="2"/>
  <c r="AZ21" i="2"/>
  <c r="BA21" i="2"/>
  <c r="BB21" i="2"/>
  <c r="BC21" i="2"/>
  <c r="AU22" i="2"/>
  <c r="AV22" i="2"/>
  <c r="AW22" i="2"/>
  <c r="AX22" i="2"/>
  <c r="AY22" i="2"/>
  <c r="AZ22" i="2"/>
  <c r="BA22" i="2"/>
  <c r="BB22" i="2"/>
  <c r="BC22" i="2"/>
  <c r="AU23" i="2"/>
  <c r="AV23" i="2"/>
  <c r="AW23" i="2"/>
  <c r="AX23" i="2"/>
  <c r="AY23" i="2"/>
  <c r="AZ23" i="2"/>
  <c r="BA23" i="2"/>
  <c r="BB23" i="2"/>
  <c r="BC23" i="2"/>
  <c r="AU24" i="2"/>
  <c r="AV24" i="2"/>
  <c r="AW24" i="2"/>
  <c r="AX24" i="2"/>
  <c r="AY24" i="2"/>
  <c r="AZ24" i="2"/>
  <c r="BA24" i="2"/>
  <c r="BB24" i="2"/>
  <c r="BC24" i="2"/>
  <c r="AU25" i="2"/>
  <c r="AV25" i="2"/>
  <c r="AW25" i="2"/>
  <c r="AX25" i="2"/>
  <c r="AY25" i="2"/>
  <c r="AZ25" i="2"/>
  <c r="BA25" i="2"/>
  <c r="BB25" i="2"/>
  <c r="BC25" i="2"/>
  <c r="AU26" i="2"/>
  <c r="AV26" i="2"/>
  <c r="AW26" i="2"/>
  <c r="AX26" i="2"/>
  <c r="AY26" i="2"/>
  <c r="AZ26" i="2"/>
  <c r="BA26" i="2"/>
  <c r="BB26" i="2"/>
  <c r="BC26" i="2"/>
  <c r="AU27" i="2"/>
  <c r="AV27" i="2"/>
  <c r="AW27" i="2"/>
  <c r="AX27" i="2"/>
  <c r="AY27" i="2"/>
  <c r="AZ27" i="2"/>
  <c r="BA27" i="2"/>
  <c r="BB27" i="2"/>
  <c r="BC27" i="2"/>
  <c r="AU28" i="2"/>
  <c r="AV28" i="2"/>
  <c r="AW28" i="2"/>
  <c r="AX28" i="2"/>
  <c r="AY28" i="2"/>
  <c r="AZ28" i="2"/>
  <c r="BA28" i="2"/>
  <c r="BB28" i="2"/>
  <c r="BC28" i="2"/>
  <c r="AU29" i="2"/>
  <c r="AV29" i="2"/>
  <c r="AW29" i="2"/>
  <c r="AX29" i="2"/>
  <c r="AY29" i="2"/>
  <c r="AZ29" i="2"/>
  <c r="BA29" i="2"/>
  <c r="BB29" i="2"/>
  <c r="BC29" i="2"/>
  <c r="AU30" i="2"/>
  <c r="AV30" i="2"/>
  <c r="AW30" i="2"/>
  <c r="AX30" i="2"/>
  <c r="AY30" i="2"/>
  <c r="AZ30" i="2"/>
  <c r="BA30" i="2"/>
  <c r="BB30" i="2"/>
  <c r="BC30" i="2"/>
  <c r="AU31" i="2"/>
  <c r="AV31" i="2"/>
  <c r="AW31" i="2"/>
  <c r="AX31" i="2"/>
  <c r="AY31" i="2"/>
  <c r="AZ31" i="2"/>
  <c r="BA31" i="2"/>
  <c r="BB31" i="2"/>
  <c r="BC31" i="2"/>
  <c r="AU32" i="2"/>
  <c r="AV32" i="2"/>
  <c r="AW32" i="2"/>
  <c r="AX32" i="2"/>
  <c r="AY32" i="2"/>
  <c r="AZ32" i="2"/>
  <c r="BA32" i="2"/>
  <c r="BB32" i="2"/>
  <c r="BC32" i="2"/>
  <c r="AU33" i="2"/>
  <c r="AV33" i="2"/>
  <c r="AW33" i="2"/>
  <c r="AX33" i="2"/>
  <c r="AY33" i="2"/>
  <c r="AZ33" i="2"/>
  <c r="BA33" i="2"/>
  <c r="BB33" i="2"/>
  <c r="BC33" i="2"/>
  <c r="AU34" i="2"/>
  <c r="AV34" i="2"/>
  <c r="AW34" i="2"/>
  <c r="AX34" i="2"/>
  <c r="AY34" i="2"/>
  <c r="AZ34" i="2"/>
  <c r="BA34" i="2"/>
  <c r="BB34" i="2"/>
  <c r="BC34" i="2"/>
  <c r="AU35" i="2"/>
  <c r="AV35" i="2"/>
  <c r="AW35" i="2"/>
  <c r="AX35" i="2"/>
  <c r="AY35" i="2"/>
  <c r="AZ35" i="2"/>
  <c r="BA35" i="2"/>
  <c r="BB35" i="2"/>
  <c r="BC35" i="2"/>
  <c r="AU36" i="2"/>
  <c r="AV36" i="2"/>
  <c r="AW36" i="2"/>
  <c r="AX36" i="2"/>
  <c r="AY36" i="2"/>
  <c r="AZ36" i="2"/>
  <c r="BA36" i="2"/>
  <c r="BB36" i="2"/>
  <c r="BC36" i="2"/>
  <c r="AU37" i="2"/>
  <c r="AV37" i="2"/>
  <c r="AW37" i="2"/>
  <c r="AX37" i="2"/>
  <c r="AY37" i="2"/>
  <c r="AZ37" i="2"/>
  <c r="BA37" i="2"/>
  <c r="BB37" i="2"/>
  <c r="BC37" i="2"/>
  <c r="AU38" i="2"/>
  <c r="AV38" i="2"/>
  <c r="AW38" i="2"/>
  <c r="AX38" i="2"/>
  <c r="AY38" i="2"/>
  <c r="AZ38" i="2"/>
  <c r="BA38" i="2"/>
  <c r="BB38" i="2"/>
  <c r="BC38" i="2"/>
  <c r="AU39" i="2"/>
  <c r="AV39" i="2"/>
  <c r="AW39" i="2"/>
  <c r="AX39" i="2"/>
  <c r="AY39" i="2"/>
  <c r="AZ39" i="2"/>
  <c r="BA39" i="2"/>
  <c r="BB39" i="2"/>
  <c r="BC39" i="2"/>
  <c r="AU40" i="2"/>
  <c r="AV40" i="2"/>
  <c r="AW40" i="2"/>
  <c r="AX40" i="2"/>
  <c r="AY40" i="2"/>
  <c r="AZ40" i="2"/>
  <c r="BA40" i="2"/>
  <c r="BB40" i="2"/>
  <c r="BC40" i="2"/>
  <c r="AU41" i="2"/>
  <c r="AV41" i="2"/>
  <c r="AW41" i="2"/>
  <c r="AX41" i="2"/>
  <c r="AY41" i="2"/>
  <c r="AZ41" i="2"/>
  <c r="BA41" i="2"/>
  <c r="BB41" i="2"/>
  <c r="BC41" i="2"/>
  <c r="AU42" i="2"/>
  <c r="AV42" i="2"/>
  <c r="AW42" i="2"/>
  <c r="AX42" i="2"/>
  <c r="AY42" i="2"/>
  <c r="AZ42" i="2"/>
  <c r="BA42" i="2"/>
  <c r="BB42" i="2"/>
  <c r="BC42" i="2"/>
  <c r="AU43" i="2"/>
  <c r="AV43" i="2"/>
  <c r="AW43" i="2"/>
  <c r="AX43" i="2"/>
  <c r="AY43" i="2"/>
  <c r="AZ43" i="2"/>
  <c r="BA43" i="2"/>
  <c r="BB43" i="2"/>
  <c r="BC43" i="2"/>
  <c r="AU44" i="2"/>
  <c r="AV44" i="2"/>
  <c r="AW44" i="2"/>
  <c r="AX44" i="2"/>
  <c r="AY44" i="2"/>
  <c r="AZ44" i="2"/>
  <c r="BA44" i="2"/>
  <c r="BB44" i="2"/>
  <c r="BC44" i="2"/>
  <c r="AU45" i="2"/>
  <c r="AV45" i="2"/>
  <c r="AW45" i="2"/>
  <c r="AX45" i="2"/>
  <c r="AY45" i="2"/>
  <c r="AZ45" i="2"/>
  <c r="BA45" i="2"/>
  <c r="BB45" i="2"/>
  <c r="BC45" i="2"/>
  <c r="AU46" i="2"/>
  <c r="AV46" i="2"/>
  <c r="AW46" i="2"/>
  <c r="AX46" i="2"/>
  <c r="AY46" i="2"/>
  <c r="AZ46" i="2"/>
  <c r="BA46" i="2"/>
  <c r="BB46" i="2"/>
  <c r="BC46" i="2"/>
  <c r="AU47" i="2"/>
  <c r="AV47" i="2"/>
  <c r="AW47" i="2"/>
  <c r="AX47" i="2"/>
  <c r="AY47" i="2"/>
  <c r="AZ47" i="2"/>
  <c r="BA47" i="2"/>
  <c r="BB47" i="2"/>
  <c r="BC47" i="2"/>
  <c r="AU48" i="2"/>
  <c r="AV48" i="2"/>
  <c r="AW48" i="2"/>
  <c r="AX48" i="2"/>
  <c r="AY48" i="2"/>
  <c r="AZ48" i="2"/>
  <c r="BA48" i="2"/>
  <c r="BB48" i="2"/>
  <c r="BC48" i="2"/>
  <c r="AU49" i="2"/>
  <c r="AV49" i="2"/>
  <c r="AW49" i="2"/>
  <c r="AX49" i="2"/>
  <c r="AY49" i="2"/>
  <c r="AZ49" i="2"/>
  <c r="BA49" i="2"/>
  <c r="BB49" i="2"/>
  <c r="BC49" i="2"/>
  <c r="AU50" i="2"/>
  <c r="AV50" i="2"/>
  <c r="AW50" i="2"/>
  <c r="AX50" i="2"/>
  <c r="AY50" i="2"/>
  <c r="AZ50" i="2"/>
  <c r="BA50" i="2"/>
  <c r="BB50" i="2"/>
  <c r="BC50" i="2"/>
  <c r="AU51" i="2"/>
  <c r="AV51" i="2"/>
  <c r="AW51" i="2"/>
  <c r="AX51" i="2"/>
  <c r="AY51" i="2"/>
  <c r="AZ51" i="2"/>
  <c r="BA51" i="2"/>
  <c r="BB51" i="2"/>
  <c r="BC51" i="2"/>
  <c r="AU52" i="2"/>
  <c r="AV52" i="2"/>
  <c r="AW52" i="2"/>
  <c r="AX52" i="2"/>
  <c r="AY52" i="2"/>
  <c r="AZ52" i="2"/>
  <c r="BA52" i="2"/>
  <c r="BB52" i="2"/>
  <c r="BC52" i="2"/>
  <c r="AU53" i="2"/>
  <c r="AV53" i="2"/>
  <c r="AW53" i="2"/>
  <c r="AX53" i="2"/>
  <c r="AY53" i="2"/>
  <c r="AZ53" i="2"/>
  <c r="BA53" i="2"/>
  <c r="BB53" i="2"/>
  <c r="BC53" i="2"/>
  <c r="AU54" i="2"/>
  <c r="AV54" i="2"/>
  <c r="AW54" i="2"/>
  <c r="AX54" i="2"/>
  <c r="AY54" i="2"/>
  <c r="AZ54" i="2"/>
  <c r="BA54" i="2"/>
  <c r="BB54" i="2"/>
  <c r="BC54" i="2"/>
  <c r="AU55" i="2"/>
  <c r="AV55" i="2"/>
  <c r="AW55" i="2"/>
  <c r="AX55" i="2"/>
  <c r="AY55" i="2"/>
  <c r="AZ55" i="2"/>
  <c r="BA55" i="2"/>
  <c r="BB55" i="2"/>
  <c r="BC55" i="2"/>
  <c r="AU56" i="2"/>
  <c r="AV56" i="2"/>
  <c r="AW56" i="2"/>
  <c r="AX56" i="2"/>
  <c r="AY56" i="2"/>
  <c r="AZ56" i="2"/>
  <c r="BA56" i="2"/>
  <c r="BB56" i="2"/>
  <c r="BC56" i="2"/>
  <c r="AU57" i="2"/>
  <c r="AV57" i="2"/>
  <c r="AW57" i="2"/>
  <c r="AX57" i="2"/>
  <c r="AY57" i="2"/>
  <c r="AZ57" i="2"/>
  <c r="BA57" i="2"/>
  <c r="BB57" i="2"/>
  <c r="BC57" i="2"/>
  <c r="AU58" i="2"/>
  <c r="AV58" i="2"/>
  <c r="AW58" i="2"/>
  <c r="AX58" i="2"/>
  <c r="AY58" i="2"/>
  <c r="AZ58" i="2"/>
  <c r="BA58" i="2"/>
  <c r="BB58" i="2"/>
  <c r="BC58" i="2"/>
  <c r="AV9" i="2"/>
  <c r="AW9" i="2"/>
  <c r="AX9" i="2"/>
  <c r="AY9" i="2"/>
  <c r="AZ9" i="2"/>
  <c r="BA9" i="2"/>
  <c r="BB9" i="2"/>
  <c r="BC9" i="2"/>
  <c r="AU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Q9" i="2"/>
  <c r="AR9" i="2"/>
  <c r="AS9" i="2"/>
  <c r="AT9" i="2"/>
  <c r="AP9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H9" i="2"/>
  <c r="AI9" i="2"/>
  <c r="AJ9" i="2"/>
  <c r="AK9" i="2"/>
  <c r="AL9" i="2"/>
  <c r="AM9" i="2"/>
  <c r="AN9" i="2"/>
  <c r="AO9" i="2"/>
  <c r="AG9" i="2"/>
  <c r="AC9" i="2"/>
  <c r="AD9" i="2"/>
  <c r="AE9" i="2"/>
  <c r="AF9" i="2"/>
  <c r="AB9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G9" i="2"/>
  <c r="H9" i="2"/>
  <c r="C9" i="2"/>
  <c r="D9" i="2"/>
  <c r="E9" i="2"/>
  <c r="F9" i="2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2" authorId="0" shapeId="0" xr:uid="{5D00AD50-7F04-4D8C-BF62-10523DD1A923}">
      <text>
        <r>
          <rPr>
            <sz val="11"/>
            <color theme="1"/>
            <rFont val="Aptos Narrow"/>
            <family val="2"/>
            <scheme val="minor"/>
          </rPr>
          <t>Andrew Johnson:
to be used in screening and in the benefits dollar values to calculate benefits in reporting section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3" authorId="0" shapeId="0" xr:uid="{7DFEC677-B524-42A4-B80D-EBCC5581140A}">
      <text>
        <r>
          <rPr>
            <sz val="11"/>
            <color theme="1"/>
            <rFont val="Aptos Narrow"/>
            <family val="2"/>
            <scheme val="minor"/>
          </rPr>
          <t>Andrew Johnson:
Make Column Headers Unique
Make Columns python friendly</t>
        </r>
      </text>
    </comment>
    <comment ref="A4" authorId="0" shapeId="0" xr:uid="{329CB359-D6BF-4347-8B78-A96E1B3DF5CC}">
      <text>
        <r>
          <rPr>
            <sz val="11"/>
            <color theme="1"/>
            <rFont val="Aptos Narrow"/>
            <family val="2"/>
            <scheme val="minor"/>
          </rPr>
          <t>Andrew Johnson:
summer_onpeak_usdperkwh</t>
        </r>
      </text>
    </comment>
    <comment ref="A9" authorId="0" shapeId="0" xr:uid="{B9C239EB-595B-4187-B161-23A12DA7FA2D}">
      <text>
        <r>
          <rPr>
            <sz val="11"/>
            <color theme="1"/>
            <rFont val="Aptos Narrow"/>
            <family val="2"/>
            <scheme val="minor"/>
          </rPr>
          <t>Andrew Johnson:
to be used in screening and in the benefits dollar values to calculate benefits in reporting section</t>
        </r>
      </text>
    </comment>
  </commentList>
</comments>
</file>

<file path=xl/sharedStrings.xml><?xml version="1.0" encoding="utf-8"?>
<sst xmlns="http://schemas.openxmlformats.org/spreadsheetml/2006/main" count="3270" uniqueCount="290">
  <si>
    <t>year</t>
  </si>
  <si>
    <t>summer_on-peak_usdperkWh</t>
  </si>
  <si>
    <t>summer_off-peak_usdperkWh</t>
  </si>
  <si>
    <t>winter_on-peak_usdperkWh</t>
  </si>
  <si>
    <t>winter_off-peak_usdperkWh</t>
  </si>
  <si>
    <t>shoulder_on-peak_usdperkWh</t>
  </si>
  <si>
    <t>shoulder_off-peak_usdperkWh</t>
  </si>
  <si>
    <t>summer_gener_capacity_usdperkW-yr</t>
  </si>
  <si>
    <t>summer_td_usdperkW-yr</t>
  </si>
  <si>
    <t>winter_gener_capacity_usdperkW-yr</t>
  </si>
  <si>
    <t>winter_td_usdperkW-yr</t>
  </si>
  <si>
    <t>natural_gas_usdperMMBtu</t>
  </si>
  <si>
    <t>res_fuel_oil_usdperMMBtu</t>
  </si>
  <si>
    <t>com_fuel_oil_usdperMMBtu</t>
  </si>
  <si>
    <t>ind_fuel_oil_usdperMMBtu</t>
  </si>
  <si>
    <t>res_propane_usdperMMBtu</t>
  </si>
  <si>
    <t>com_propane_usdperMMBtu</t>
  </si>
  <si>
    <t>ind_propane_usdperMMBtu</t>
  </si>
  <si>
    <t>diesel_transportation_usdperMMBtu</t>
  </si>
  <si>
    <t>gasoline_transportation_usdperMMBtu</t>
  </si>
  <si>
    <t>water_usdpergallon</t>
  </si>
  <si>
    <t>electricity_retail_prices_res_usdperkwh</t>
  </si>
  <si>
    <t>electricity_retail_prices_commercial_usdperkwh</t>
  </si>
  <si>
    <t>electricity_retail_prices_industrial_usdperkwh</t>
  </si>
  <si>
    <t>natural_gas_retail_prices_res_usdpermmbtu</t>
  </si>
  <si>
    <t>natural_gas_retail_prices_commercial_usdpermmbtu</t>
  </si>
  <si>
    <t>natural_gas_retail_prices_industrial_usdpermmbtu</t>
  </si>
  <si>
    <t>heating_oil_retail_prices_res_usdpermmbtu</t>
  </si>
  <si>
    <t>heating_oil_retail_prices_commercial_usdpermmbtu</t>
  </si>
  <si>
    <t>heating_oil_retail_prices_industrial_usdpermmbtu</t>
  </si>
  <si>
    <t>summer_on-peak_usdperMMBtu_carbon</t>
  </si>
  <si>
    <t>summer_off-peak_usdperMMBtu_carbon</t>
  </si>
  <si>
    <t>winter_on-peak_usdperMMBtu_carbon</t>
  </si>
  <si>
    <t>winter_off-peak_usdperMMBtu_carbon</t>
  </si>
  <si>
    <t>shoulder_on-peak_usdperMMBtu_carbon</t>
  </si>
  <si>
    <t>natural_gas_usdperMMBtu_carbon</t>
  </si>
  <si>
    <t>res_fuel_oil_usdperMMBtu_carbon</t>
  </si>
  <si>
    <t>com_fuel_oil_usdperMMBtu_carbon</t>
  </si>
  <si>
    <t>ind_fuel_oil_usdperMMBtu_carbon</t>
  </si>
  <si>
    <t>res_propane_usdperMMBtu_carbon</t>
  </si>
  <si>
    <t>com_propane_usdperMMBtu_carbon</t>
  </si>
  <si>
    <t>ind_propane_usdperMMBtu_carbon</t>
  </si>
  <si>
    <t>diesel_transportation_usdperMMBtu_carbon</t>
  </si>
  <si>
    <t>gasoline_transportation_usdperMMBtu_carbon</t>
  </si>
  <si>
    <t>summer_on-peak_usdperMMBtu_n2o</t>
  </si>
  <si>
    <t>summer_off-peak_usdperMMBtu_n2o</t>
  </si>
  <si>
    <t>winter_on-peak_usdperMMBtu_n2o</t>
  </si>
  <si>
    <t>winter_off-peak_usdperMMBtu_n2o</t>
  </si>
  <si>
    <t>shoulder_on-peak_usdperMMBtu_n2o</t>
  </si>
  <si>
    <t>natural_gas_usdperMMBtu_n2o</t>
  </si>
  <si>
    <t>res_fuel_oil_usdperMMBtu_n2o</t>
  </si>
  <si>
    <t>com_fuel_oil_usdperMMBtu_n2o</t>
  </si>
  <si>
    <t>ind_fuel_oil_usdperMMBtu_n2o</t>
  </si>
  <si>
    <t>res_propane_usdperMMBtu_n2o</t>
  </si>
  <si>
    <t>com_propane_usdperMMBtu_n2o</t>
  </si>
  <si>
    <t>ind_propane_usdperMMBtu_n2o</t>
  </si>
  <si>
    <t>diesel_transportation_usdperMMBtu_n2o</t>
  </si>
  <si>
    <t>gasoline_transportation_usdperMMBtu_n2o</t>
  </si>
  <si>
    <t>summer_on-peak_usdperMMBtu_ch4</t>
  </si>
  <si>
    <t>summer_off-peak_usdperMMBtu_ch4</t>
  </si>
  <si>
    <t>winter_on-peak_usdperMMBtu_ch4</t>
  </si>
  <si>
    <t>winter_off-peak_usdperMMBtu_ch4</t>
  </si>
  <si>
    <t>shoulder_on-peak_usdperMMBtu_ch4</t>
  </si>
  <si>
    <t>natural_gas_usdperMMBtu_ch4</t>
  </si>
  <si>
    <t>res_fuel_oil_usdperMMBtu_ch4</t>
  </si>
  <si>
    <t>com_fuel_oil_usdperMMBtu_ch4</t>
  </si>
  <si>
    <t>ind_fuel_oil_usdperMMBtu_ch4</t>
  </si>
  <si>
    <t>res_propane_usdperMMBtu_ch4</t>
  </si>
  <si>
    <t>com_propane_usdperMMBtu_ch4</t>
  </si>
  <si>
    <t>ind_propane_usdperMMBtu_ch4</t>
  </si>
  <si>
    <t>diesel_transportation_usdperMMBtu_ch4</t>
  </si>
  <si>
    <t>gasoline_transportation_usdperMMBtu_ch4</t>
  </si>
  <si>
    <t>Electricity</t>
  </si>
  <si>
    <t>Natural_gas</t>
  </si>
  <si>
    <t>Heating Oil</t>
  </si>
  <si>
    <t>Retail_Prices</t>
  </si>
  <si>
    <t>Study Year</t>
  </si>
  <si>
    <t>Summer_On-Peak</t>
  </si>
  <si>
    <t>Summer_Off-Peak</t>
  </si>
  <si>
    <t>Winter_On-Peak</t>
  </si>
  <si>
    <t>Winter_Off-Peak</t>
  </si>
  <si>
    <t>Shoulder_On-Peak</t>
  </si>
  <si>
    <t>Summer_Gener_Capacity</t>
  </si>
  <si>
    <t>Summer_TD</t>
  </si>
  <si>
    <t>Natural_Gas</t>
  </si>
  <si>
    <t>Res_Fuel_Oil</t>
  </si>
  <si>
    <t>Com_Fuel_Oil</t>
  </si>
  <si>
    <t>Ind_Fuel_Oil</t>
  </si>
  <si>
    <t>Res_Propane</t>
  </si>
  <si>
    <t>Com_Propane</t>
  </si>
  <si>
    <t>Ind_Propane</t>
  </si>
  <si>
    <t>Diesel_Transportation</t>
  </si>
  <si>
    <t>Gasoline_Transportation</t>
  </si>
  <si>
    <t>Unit</t>
  </si>
  <si>
    <t>Carbon</t>
  </si>
  <si>
    <t>N2O</t>
  </si>
  <si>
    <t>CH4</t>
  </si>
  <si>
    <t>Double check the units with Matt</t>
  </si>
  <si>
    <t>Clean Unit</t>
  </si>
  <si>
    <t>usdperkWh</t>
  </si>
  <si>
    <t>usdperkW-yr</t>
  </si>
  <si>
    <t>usdperMMBtu</t>
  </si>
  <si>
    <t>usdpergallon</t>
  </si>
  <si>
    <t>study year_unit</t>
  </si>
  <si>
    <t>summer on-peak_$/kwh</t>
  </si>
  <si>
    <t>summer off-peak_$/kwh</t>
  </si>
  <si>
    <t>winter on-peak_$/kwh</t>
  </si>
  <si>
    <t>winter off-peak_$/kwh</t>
  </si>
  <si>
    <t>shoulder_$/kwh</t>
  </si>
  <si>
    <t>summer gener. capacity_$/kw-yr</t>
  </si>
  <si>
    <t>summer t&amp;d_$/kw-yr</t>
  </si>
  <si>
    <t>natural gas_$/mmbtu</t>
  </si>
  <si>
    <t>res fuel oil_$/mmbtu</t>
  </si>
  <si>
    <t>com fuel oil_$/mmbtu</t>
  </si>
  <si>
    <t>ind fuel oil_$/mmbtu</t>
  </si>
  <si>
    <t>res propane_$/mmbtu</t>
  </si>
  <si>
    <t>com propane_$/mmbtu</t>
  </si>
  <si>
    <t>ind propane_$/mmbtu</t>
  </si>
  <si>
    <t>diesel, transportation_$/mmbtu</t>
  </si>
  <si>
    <t>gasoline, transportation_$/mmbtu</t>
  </si>
  <si>
    <t>water_$/gallon</t>
  </si>
  <si>
    <t>res_$/kwh</t>
  </si>
  <si>
    <t>commercial_$/kwh</t>
  </si>
  <si>
    <t>industrial_$/kwh</t>
  </si>
  <si>
    <t>res_$/mmbtu</t>
  </si>
  <si>
    <t>commercial_$/mmbtu</t>
  </si>
  <si>
    <t>industrial_$/mmbtu</t>
  </si>
  <si>
    <t>summer on-peak_carbon</t>
  </si>
  <si>
    <t>summer off-peak_carbon</t>
  </si>
  <si>
    <t>winter on-peak_carbon</t>
  </si>
  <si>
    <t>winter off-peak_carbon</t>
  </si>
  <si>
    <t>shoulder on-peak_carbon</t>
  </si>
  <si>
    <t>natural gas_carbon</t>
  </si>
  <si>
    <t>res fuel oil_carbon</t>
  </si>
  <si>
    <t>com fuel oil_carbon</t>
  </si>
  <si>
    <t>ind fuel oil_carbon</t>
  </si>
  <si>
    <t>res propane_carbon</t>
  </si>
  <si>
    <t>com propane_carbon</t>
  </si>
  <si>
    <t>ind propane_carbon</t>
  </si>
  <si>
    <t>diesel, transportation_carbon</t>
  </si>
  <si>
    <t>gasoline, transportation_carbon</t>
  </si>
  <si>
    <t>summer on-peak_n2o</t>
  </si>
  <si>
    <t>summer off-peak_n2o</t>
  </si>
  <si>
    <t>winter on-peak_n2o</t>
  </si>
  <si>
    <t>winter off-peak_n2o</t>
  </si>
  <si>
    <t>shoulder on-peak_n2o</t>
  </si>
  <si>
    <t>natural gas_n2o</t>
  </si>
  <si>
    <t>res fuel oil_n2o</t>
  </si>
  <si>
    <t>com fuel oil_n2o</t>
  </si>
  <si>
    <t>ind fuel oil_n2o</t>
  </si>
  <si>
    <t>res propane_n2o</t>
  </si>
  <si>
    <t>com propane_n2o</t>
  </si>
  <si>
    <t>ind propane_n2o</t>
  </si>
  <si>
    <t>diesel, transportation_n2o</t>
  </si>
  <si>
    <t>gasoline, transportation_n2o</t>
  </si>
  <si>
    <t>summer on-peak_ch4</t>
  </si>
  <si>
    <t>summer off-peak_ch4</t>
  </si>
  <si>
    <t>winter on-peak_ch4</t>
  </si>
  <si>
    <t>winter off-peak_ch4</t>
  </si>
  <si>
    <t>shoulder on-peak_ch4</t>
  </si>
  <si>
    <t>natural gas_ch4</t>
  </si>
  <si>
    <t>res fuel oil_ch4</t>
  </si>
  <si>
    <t>com fuel oil_ch4</t>
  </si>
  <si>
    <t>ind fuel oil_ch4</t>
  </si>
  <si>
    <t>res propane_ch4</t>
  </si>
  <si>
    <t>com propane_ch4</t>
  </si>
  <si>
    <t>ind propane_ch4</t>
  </si>
  <si>
    <t>diesel, transportation_ch4</t>
  </si>
  <si>
    <t>gasoline, transportation_ch4</t>
  </si>
  <si>
    <t>Avoided Costs &amp; Fuel Prices</t>
  </si>
  <si>
    <t>All Avoided Costs must be in Year 2026$</t>
  </si>
  <si>
    <t>END-USE FUEL COSTS</t>
  </si>
  <si>
    <t>LINE LOSS FACTORS (% of meter)</t>
  </si>
  <si>
    <t> </t>
  </si>
  <si>
    <t>RETAIL FUEL COST ADDERS ($/MMBtu)</t>
  </si>
  <si>
    <t>EMISSIONS IMPACTS</t>
  </si>
  <si>
    <t>$/tonne CO2</t>
  </si>
  <si>
    <t>Sectors</t>
  </si>
  <si>
    <t>Summer On-Peak</t>
  </si>
  <si>
    <t>Summer Off-Peak</t>
  </si>
  <si>
    <t>Winter On-Peak</t>
  </si>
  <si>
    <t>Winter Off-Peak</t>
  </si>
  <si>
    <t>Shoulder</t>
  </si>
  <si>
    <t>Summer Gener. Capacity</t>
  </si>
  <si>
    <t>Summer T&amp;D</t>
  </si>
  <si>
    <t>Natural Gas</t>
  </si>
  <si>
    <t>CO2</t>
  </si>
  <si>
    <t>NOx</t>
  </si>
  <si>
    <t>Equivalent CO2 Externalities</t>
  </si>
  <si>
    <t>Res</t>
  </si>
  <si>
    <t>Electric (tonne/MWh at gen)</t>
  </si>
  <si>
    <t xml:space="preserve">$-   </t>
  </si>
  <si>
    <t>$/kWh</t>
  </si>
  <si>
    <t>1 tonne = 1 "metric ton"</t>
  </si>
  <si>
    <t>Small C&amp;I</t>
  </si>
  <si>
    <t>Nat Gas (tonne/MMBtu)</t>
  </si>
  <si>
    <t>$/MMBtu</t>
  </si>
  <si>
    <t>1 US short ton = 2000 lbs</t>
  </si>
  <si>
    <t>Large C&amp;I</t>
  </si>
  <si>
    <t>Oil (tonne/MMBtu)</t>
  </si>
  <si>
    <t>US short ton/tonne</t>
  </si>
  <si>
    <t>tonne CO2/gallon of gas</t>
  </si>
  <si>
    <t>http://www.epa.gov/cleanenergy/energy-resources/refs.html</t>
  </si>
  <si>
    <t>$/gallon of gas equivalent for cost of CO2 (combustion CO2 only)</t>
  </si>
  <si>
    <t>USER DEFINED END-USE EXTERNALITIES ($/MMBtu)</t>
  </si>
  <si>
    <t>ELECTRIC AVOIDED COSTS w/o losses (at gen)</t>
  </si>
  <si>
    <t>Electric Avoided Costs Multiplier</t>
  </si>
  <si>
    <t>End-use Fuel Costs Multiplier</t>
  </si>
  <si>
    <t>OTHER RESOURCE</t>
  </si>
  <si>
    <t>USER DEFINED</t>
  </si>
  <si>
    <t>RETAIL PRICES BY SECTOR (2026$) - For the Participant Test</t>
  </si>
  <si>
    <t>ELEC SALES &amp; RIM INPUTS</t>
  </si>
  <si>
    <t>kWh1</t>
  </si>
  <si>
    <t>kWh2</t>
  </si>
  <si>
    <t>kWh3</t>
  </si>
  <si>
    <t>kWh4</t>
  </si>
  <si>
    <t>kWh5</t>
  </si>
  <si>
    <t>kWh6</t>
  </si>
  <si>
    <t>kW1</t>
  </si>
  <si>
    <t>kW2</t>
  </si>
  <si>
    <t>kW3</t>
  </si>
  <si>
    <t>kW4</t>
  </si>
  <si>
    <t>AVOIDED COSTS</t>
  </si>
  <si>
    <t>ELECTRIC EXTERNALITIES without losses (at gen)</t>
  </si>
  <si>
    <t>ELECTRICITY</t>
  </si>
  <si>
    <t>NATURAL GAS</t>
  </si>
  <si>
    <t>HEATING OIL</t>
  </si>
  <si>
    <t>Base Case</t>
  </si>
  <si>
    <t>Period/</t>
  </si>
  <si>
    <t>Res Fuel Oil</t>
  </si>
  <si>
    <t>Com Fuel Oil</t>
  </si>
  <si>
    <t>Ind Fuel Oil</t>
  </si>
  <si>
    <t>Res Propane</t>
  </si>
  <si>
    <t>Com Propane</t>
  </si>
  <si>
    <t>Ind Propane</t>
  </si>
  <si>
    <t>Diesel, Transportation</t>
  </si>
  <si>
    <t>Gasoline, Transportation</t>
  </si>
  <si>
    <t>Water</t>
  </si>
  <si>
    <t>Shoulder On-Peak</t>
  </si>
  <si>
    <t>Shoulder Off-Peak</t>
  </si>
  <si>
    <t>Commercial</t>
  </si>
  <si>
    <t>Industrial</t>
  </si>
  <si>
    <t>Annual Revenue Requirement</t>
  </si>
  <si>
    <t>Annual Native Sales</t>
  </si>
  <si>
    <t>Type:</t>
  </si>
  <si>
    <t>Fuel Class:</t>
  </si>
  <si>
    <t>Oil</t>
  </si>
  <si>
    <t>Propane</t>
  </si>
  <si>
    <t>(2026$)</t>
  </si>
  <si>
    <t>$/kW-yr</t>
  </si>
  <si>
    <t>$/Gallon</t>
  </si>
  <si>
    <t>$/</t>
  </si>
  <si>
    <t>$Million</t>
  </si>
  <si>
    <t>GWh</t>
  </si>
  <si>
    <t>kg to tonne</t>
  </si>
  <si>
    <t>gram to tonne</t>
  </si>
  <si>
    <t>Diesel (MMBtu/gal)</t>
  </si>
  <si>
    <t>Gasoline (MMBtu/gal)</t>
  </si>
  <si>
    <t>https://www.eia.gov/energyexplained/units-and-calculators/</t>
  </si>
  <si>
    <t>https://www.epa.gov/system/files/other-files/2025-01/ghg-emission-factors-hub-2025.xlsx</t>
  </si>
  <si>
    <t>CO2 Version</t>
  </si>
  <si>
    <t>U.S. Energy Information Administration - EIA - Independent Statistics and Analysis</t>
  </si>
  <si>
    <t>Emissions Factors (tonnes/MMBtu)</t>
  </si>
  <si>
    <t>Cost of Carbon $/MMBtu</t>
  </si>
  <si>
    <t>Year</t>
  </si>
  <si>
    <t>$/tonne</t>
  </si>
  <si>
    <t>add all ghg for all years average for all period level values then average</t>
  </si>
  <si>
    <t>just do every 5 years</t>
  </si>
  <si>
    <t>EPA Report on the Social Cost of Greenhouse Gases: Estimates Incorporating Recent Scientific Advances</t>
  </si>
  <si>
    <t>&amp;/Tonne</t>
  </si>
  <si>
    <t>Nox</t>
  </si>
  <si>
    <t>All GHGs</t>
  </si>
  <si>
    <t>summer_on-peak_usdperkWh_carbon</t>
  </si>
  <si>
    <t>summer_off-peak_usdperkWh_carbon</t>
  </si>
  <si>
    <t>winter_on-peak_usdperkWh_carbon</t>
  </si>
  <si>
    <t>winter_off-peak_usdperkWh_carbon</t>
  </si>
  <si>
    <t>shoulder_on-peak_usdperkWh_carbon</t>
  </si>
  <si>
    <t>shoulder_off-peak_usdperkWh_carbon</t>
  </si>
  <si>
    <t>summer_on-peak_usdperkWh_n2o</t>
  </si>
  <si>
    <t>summer_off-peak_usdperkWh_n2o</t>
  </si>
  <si>
    <t>winter_on-peak_usdperkWh_n2o</t>
  </si>
  <si>
    <t>winter_off-peak_usdperkWh_n2o</t>
  </si>
  <si>
    <t>shoulder_on-peak_usdperkWh_n2o</t>
  </si>
  <si>
    <t>shoulder_off-peak_usdperkWh_n2o</t>
  </si>
  <si>
    <t>summer_on-peak_usdperkWh_ch4</t>
  </si>
  <si>
    <t>summer_off-peak_usdperkWh_ch4</t>
  </si>
  <si>
    <t>winter_on-peak_usdperkWh_ch4</t>
  </si>
  <si>
    <t>winter_off-peak_usdperkWh_ch4</t>
  </si>
  <si>
    <t>shoulder_on-peak_usdperkWh_ch4</t>
  </si>
  <si>
    <t>shoulder_off-peak_usdperkWh_ch4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</si>
</sst>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FFFFFF"/>
      <name val="Aptos Narrow"/>
      <family val="2"/>
    </font>
    <font>
      <u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8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3" xfId="0" applyFont="1" applyBorder="1"/>
    <xf numFmtId="0" fontId="4" fillId="3" borderId="4" xfId="0" applyFont="1" applyFill="1" applyBorder="1"/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7" fillId="0" borderId="0" xfId="0" applyFont="1"/>
    <xf numFmtId="0" fontId="4" fillId="3" borderId="7" xfId="0" applyFont="1" applyFill="1" applyBorder="1"/>
    <xf numFmtId="0" fontId="4" fillId="3" borderId="6" xfId="0" applyFont="1" applyFill="1" applyBorder="1"/>
    <xf numFmtId="0" fontId="4" fillId="0" borderId="10" xfId="0" applyFont="1" applyBorder="1"/>
    <xf numFmtId="0" fontId="4" fillId="3" borderId="5" xfId="0" applyFont="1" applyFill="1" applyBorder="1"/>
    <xf numFmtId="0" fontId="4" fillId="3" borderId="11" xfId="0" applyFont="1" applyFill="1" applyBorder="1"/>
    <xf numFmtId="0" fontId="4" fillId="4" borderId="6" xfId="0" applyFont="1" applyFill="1" applyBorder="1"/>
    <xf numFmtId="0" fontId="4" fillId="0" borderId="6" xfId="0" applyFont="1" applyBorder="1"/>
    <xf numFmtId="11" fontId="4" fillId="3" borderId="6" xfId="0" applyNumberFormat="1" applyFont="1" applyFill="1" applyBorder="1"/>
    <xf numFmtId="0" fontId="8" fillId="0" borderId="0" xfId="0" applyFont="1"/>
    <xf numFmtId="0" fontId="5" fillId="3" borderId="6" xfId="0" applyFont="1" applyFill="1" applyBorder="1"/>
    <xf numFmtId="0" fontId="9" fillId="0" borderId="0" xfId="0" applyFont="1"/>
    <xf numFmtId="0" fontId="4" fillId="4" borderId="5" xfId="0" applyFont="1" applyFill="1" applyBorder="1"/>
    <xf numFmtId="0" fontId="10" fillId="0" borderId="3" xfId="0" applyFont="1" applyBorder="1"/>
    <xf numFmtId="0" fontId="10" fillId="0" borderId="0" xfId="0" applyFont="1"/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0" xfId="0" applyFont="1" applyAlignment="1">
      <alignment wrapText="1"/>
    </xf>
    <xf numFmtId="0" fontId="4" fillId="0" borderId="9" xfId="0" applyFont="1" applyBorder="1"/>
    <xf numFmtId="0" fontId="11" fillId="5" borderId="7" xfId="0" applyFont="1" applyFill="1" applyBorder="1"/>
    <xf numFmtId="0" fontId="11" fillId="5" borderId="6" xfId="0" applyFont="1" applyFill="1" applyBorder="1"/>
    <xf numFmtId="0" fontId="5" fillId="3" borderId="0" xfId="0" applyFont="1" applyFill="1"/>
    <xf numFmtId="0" fontId="4" fillId="3" borderId="0" xfId="0" applyFont="1" applyFill="1"/>
    <xf numFmtId="8" fontId="4" fillId="3" borderId="0" xfId="0" applyNumberFormat="1" applyFont="1" applyFill="1"/>
    <xf numFmtId="0" fontId="4" fillId="6" borderId="0" xfId="0" applyFont="1" applyFill="1"/>
    <xf numFmtId="8" fontId="4" fillId="6" borderId="0" xfId="0" applyNumberFormat="1" applyFont="1" applyFill="1"/>
    <xf numFmtId="0" fontId="12" fillId="0" borderId="0" xfId="0" applyFont="1" applyAlignment="1">
      <alignment wrapText="1"/>
    </xf>
    <xf numFmtId="0" fontId="12" fillId="0" borderId="0" xfId="0" applyFont="1"/>
    <xf numFmtId="8" fontId="12" fillId="0" borderId="0" xfId="0" applyNumberFormat="1" applyFont="1" applyAlignment="1">
      <alignment wrapText="1"/>
    </xf>
    <xf numFmtId="0" fontId="13" fillId="0" borderId="0" xfId="0" applyFont="1"/>
    <xf numFmtId="4" fontId="13" fillId="0" borderId="0" xfId="0" applyNumberFormat="1" applyFont="1"/>
    <xf numFmtId="0" fontId="1" fillId="0" borderId="0" xfId="1" applyFill="1" applyBorder="1" applyAlignment="1"/>
    <xf numFmtId="0" fontId="14" fillId="0" borderId="0" xfId="0" applyFont="1"/>
    <xf numFmtId="0" fontId="15" fillId="7" borderId="0" xfId="0" applyFont="1" applyFill="1"/>
    <xf numFmtId="0" fontId="1" fillId="7" borderId="0" xfId="1" applyFill="1" applyBorder="1" applyAlignment="1"/>
    <xf numFmtId="0" fontId="16" fillId="7" borderId="0" xfId="0" applyFont="1" applyFill="1"/>
    <xf numFmtId="0" fontId="17" fillId="7" borderId="0" xfId="0" applyFont="1" applyFill="1"/>
    <xf numFmtId="0" fontId="18" fillId="0" borderId="0" xfId="0" applyFont="1" applyAlignment="1">
      <alignment wrapText="1"/>
    </xf>
    <xf numFmtId="0" fontId="5" fillId="8" borderId="2" xfId="0" applyFont="1" applyFill="1" applyBorder="1"/>
    <xf numFmtId="0" fontId="13" fillId="8" borderId="2" xfId="0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13" fillId="3" borderId="0" xfId="0" applyFont="1" applyFill="1"/>
    <xf numFmtId="0" fontId="5" fillId="9" borderId="0" xfId="0" applyFont="1" applyFill="1"/>
    <xf numFmtId="0" fontId="13" fillId="9" borderId="0" xfId="0" applyFont="1" applyFill="1"/>
    <xf numFmtId="0" fontId="4" fillId="3" borderId="9" xfId="0" applyFont="1" applyFill="1" applyBorder="1"/>
    <xf numFmtId="0" fontId="4" fillId="3" borderId="8" xfId="0" applyFont="1" applyFill="1" applyBorder="1"/>
    <xf numFmtId="0" fontId="5" fillId="8" borderId="3" xfId="0" applyFont="1" applyFill="1" applyBorder="1"/>
    <xf numFmtId="0" fontId="13" fillId="8" borderId="3" xfId="0" applyFont="1" applyFill="1" applyBorder="1"/>
    <xf numFmtId="0" fontId="4" fillId="10" borderId="9" xfId="0" applyFont="1" applyFill="1" applyBorder="1"/>
    <xf numFmtId="0" fontId="4" fillId="10" borderId="0" xfId="0" applyFont="1" applyFill="1"/>
    <xf numFmtId="0" fontId="4" fillId="10" borderId="8" xfId="0" applyFont="1" applyFill="1" applyBorder="1"/>
    <xf numFmtId="0" fontId="13" fillId="10" borderId="0" xfId="0" applyFont="1" applyFill="1"/>
    <xf numFmtId="0" fontId="13" fillId="11" borderId="0" xfId="0" applyFont="1" applyFill="1"/>
    <xf numFmtId="9" fontId="4" fillId="3" borderId="9" xfId="0" applyNumberFormat="1" applyFont="1" applyFill="1" applyBorder="1"/>
    <xf numFmtId="11" fontId="4" fillId="3" borderId="9" xfId="0" applyNumberFormat="1" applyFont="1" applyFill="1" applyBorder="1"/>
    <xf numFmtId="11" fontId="4" fillId="10" borderId="9" xfId="0" applyNumberFormat="1" applyFont="1" applyFill="1" applyBorder="1"/>
    <xf numFmtId="11" fontId="4" fillId="10" borderId="0" xfId="0" applyNumberFormat="1" applyFont="1" applyFill="1"/>
    <xf numFmtId="11" fontId="4" fillId="10" borderId="8" xfId="0" applyNumberFormat="1" applyFont="1" applyFill="1" applyBorder="1"/>
    <xf numFmtId="0" fontId="13" fillId="12" borderId="0" xfId="0" applyFont="1" applyFill="1"/>
    <xf numFmtId="0" fontId="4" fillId="4" borderId="13" xfId="0" applyFont="1" applyFill="1" applyBorder="1"/>
    <xf numFmtId="0" fontId="13" fillId="4" borderId="0" xfId="0" applyFont="1" applyFill="1"/>
    <xf numFmtId="0" fontId="4" fillId="4" borderId="9" xfId="0" applyFont="1" applyFill="1" applyBorder="1"/>
    <xf numFmtId="0" fontId="4" fillId="4" borderId="0" xfId="0" applyFont="1" applyFill="1"/>
    <xf numFmtId="0" fontId="4" fillId="4" borderId="8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4" fillId="0" borderId="0" xfId="0" applyFont="1"/>
    <xf numFmtId="0" fontId="4" fillId="0" borderId="3" xfId="0" applyFont="1" applyBorder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2" xfId="0" applyFont="1" applyBorder="1"/>
    <xf numFmtId="0" fontId="10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3" borderId="17" xfId="0" applyFont="1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0" borderId="9" xfId="0" applyFont="1" applyBorder="1"/>
    <xf numFmtId="0" fontId="4" fillId="0" borderId="1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7" xfId="0" applyFont="1" applyBorder="1"/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17" fillId="7" borderId="0" xfId="0" applyFont="1" applyFill="1"/>
    <xf numFmtId="0" fontId="19" fillId="0" borderId="0" xfId="0" applyFont="1"/>
    <xf numFmtId="0" fontId="19" fillId="5" borderId="0" xfId="0" applyFont="1" applyFill="1"/>
    <xf numFmtId="0" fontId="20" fillId="0" borderId="0" xfId="0" applyFont="1"/>
    <xf numFmtId="8" fontId="20" fillId="0" borderId="0" xfId="0" applyNumberFormat="1" applyFont="1"/>
    <xf numFmtId="11" fontId="2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a.gov/system/files/documents/2023-12/epa_scghg_2023_report_final.pdf" TargetMode="External"/><Relationship Id="rId7" Type="http://schemas.openxmlformats.org/officeDocument/2006/relationships/hyperlink" Target="https://www.epa.gov/system/files/documents/2023-12/epa_scghg_2023_report_final.pdf" TargetMode="External"/><Relationship Id="rId2" Type="http://schemas.openxmlformats.org/officeDocument/2006/relationships/hyperlink" Target="https://www.eia.gov/environment/emissions/co2_vol_mass.php" TargetMode="External"/><Relationship Id="rId1" Type="http://schemas.openxmlformats.org/officeDocument/2006/relationships/hyperlink" Target="https://www.eia.gov/energyexplained/units-and-calculators/" TargetMode="External"/><Relationship Id="rId6" Type="http://schemas.openxmlformats.org/officeDocument/2006/relationships/hyperlink" Target="https://www.eia.gov/environment/emissions/co2_vol_mass.php" TargetMode="External"/><Relationship Id="rId5" Type="http://schemas.openxmlformats.org/officeDocument/2006/relationships/hyperlink" Target="https://www.epa.gov/system/files/documents/2023-12/epa_scghg_2023_report_final.pdf" TargetMode="External"/><Relationship Id="rId4" Type="http://schemas.openxmlformats.org/officeDocument/2006/relationships/hyperlink" Target="https://www.eia.gov/environment/emissions/co2_vol_mas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D354-D3C7-4660-A75F-9010AC3D8AE5}">
  <dimension ref="A1:BW51"/>
  <sheetViews>
    <sheetView tabSelected="1" topLeftCell="AG1" workbookViewId="0">
      <selection activeCell="AD10" sqref="AD10"/>
    </sheetView>
  </sheetViews>
  <sheetFormatPr defaultRowHeight="15" x14ac:dyDescent="0.25"/>
  <cols>
    <col min="12" max="12" width="12.140625" customWidth="1"/>
    <col min="30" max="30" width="42.5703125" customWidth="1"/>
    <col min="46" max="46" width="9.28515625" bestFit="1" customWidth="1"/>
    <col min="55" max="55" width="20" customWidth="1"/>
    <col min="75" max="75" width="11.28515625" customWidth="1"/>
  </cols>
  <sheetData>
    <row r="1" spans="1:75" x14ac:dyDescent="0.25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  <c r="O1" s="105" t="s">
        <v>14</v>
      </c>
      <c r="P1" s="105" t="s">
        <v>15</v>
      </c>
      <c r="Q1" s="105" t="s">
        <v>16</v>
      </c>
      <c r="R1" s="105" t="s">
        <v>17</v>
      </c>
      <c r="S1" s="105" t="s">
        <v>18</v>
      </c>
      <c r="T1" s="105" t="s">
        <v>19</v>
      </c>
      <c r="U1" s="105" t="s">
        <v>20</v>
      </c>
      <c r="V1" s="106" t="s">
        <v>21</v>
      </c>
      <c r="W1" s="106" t="s">
        <v>22</v>
      </c>
      <c r="X1" s="106" t="s">
        <v>23</v>
      </c>
      <c r="Y1" s="106" t="s">
        <v>24</v>
      </c>
      <c r="Z1" s="106" t="s">
        <v>25</v>
      </c>
      <c r="AA1" s="106" t="s">
        <v>26</v>
      </c>
      <c r="AB1" s="106" t="s">
        <v>27</v>
      </c>
      <c r="AC1" s="106" t="s">
        <v>28</v>
      </c>
      <c r="AD1" s="106" t="s">
        <v>29</v>
      </c>
      <c r="AE1" s="105" t="s">
        <v>272</v>
      </c>
      <c r="AF1" s="105" t="s">
        <v>273</v>
      </c>
      <c r="AG1" s="105" t="s">
        <v>274</v>
      </c>
      <c r="AH1" s="105" t="s">
        <v>275</v>
      </c>
      <c r="AI1" s="105" t="s">
        <v>276</v>
      </c>
      <c r="AJ1" s="105" t="s">
        <v>277</v>
      </c>
      <c r="AK1" s="105" t="s">
        <v>35</v>
      </c>
      <c r="AL1" s="105" t="s">
        <v>36</v>
      </c>
      <c r="AM1" s="105" t="s">
        <v>37</v>
      </c>
      <c r="AN1" s="105" t="s">
        <v>38</v>
      </c>
      <c r="AO1" s="105" t="s">
        <v>39</v>
      </c>
      <c r="AP1" s="105" t="s">
        <v>40</v>
      </c>
      <c r="AQ1" s="105" t="s">
        <v>41</v>
      </c>
      <c r="AR1" s="105" t="s">
        <v>42</v>
      </c>
      <c r="AS1" s="105" t="s">
        <v>43</v>
      </c>
      <c r="AT1" s="105" t="s">
        <v>278</v>
      </c>
      <c r="AU1" s="105" t="s">
        <v>279</v>
      </c>
      <c r="AV1" s="105" t="s">
        <v>280</v>
      </c>
      <c r="AW1" s="105" t="s">
        <v>281</v>
      </c>
      <c r="AX1" s="105" t="s">
        <v>282</v>
      </c>
      <c r="AY1" s="105" t="s">
        <v>283</v>
      </c>
      <c r="AZ1" s="105" t="s">
        <v>49</v>
      </c>
      <c r="BA1" s="105" t="s">
        <v>50</v>
      </c>
      <c r="BB1" s="105" t="s">
        <v>51</v>
      </c>
      <c r="BC1" s="105" t="s">
        <v>52</v>
      </c>
      <c r="BD1" s="105" t="s">
        <v>53</v>
      </c>
      <c r="BE1" s="105" t="s">
        <v>54</v>
      </c>
      <c r="BF1" s="105" t="s">
        <v>55</v>
      </c>
      <c r="BG1" s="105" t="s">
        <v>56</v>
      </c>
      <c r="BH1" s="105" t="s">
        <v>57</v>
      </c>
      <c r="BI1" s="105" t="s">
        <v>284</v>
      </c>
      <c r="BJ1" s="105" t="s">
        <v>285</v>
      </c>
      <c r="BK1" s="105" t="s">
        <v>286</v>
      </c>
      <c r="BL1" s="105" t="s">
        <v>287</v>
      </c>
      <c r="BM1" s="105" t="s">
        <v>288</v>
      </c>
      <c r="BN1" s="105" t="s">
        <v>289</v>
      </c>
      <c r="BO1" s="105" t="s">
        <v>63</v>
      </c>
      <c r="BP1" s="105" t="s">
        <v>64</v>
      </c>
      <c r="BQ1" s="105" t="s">
        <v>65</v>
      </c>
      <c r="BR1" s="105" t="s">
        <v>66</v>
      </c>
      <c r="BS1" s="105" t="s">
        <v>67</v>
      </c>
      <c r="BT1" s="105" t="s">
        <v>68</v>
      </c>
      <c r="BU1" s="105" t="s">
        <v>69</v>
      </c>
      <c r="BV1" s="105" t="s">
        <v>70</v>
      </c>
      <c r="BW1" s="105" t="s">
        <v>71</v>
      </c>
    </row>
    <row r="2" spans="1:75" x14ac:dyDescent="0.25">
      <c r="A2" s="107">
        <v>1</v>
      </c>
      <c r="B2" s="108">
        <v>0.06</v>
      </c>
      <c r="C2" s="108">
        <v>0.04</v>
      </c>
      <c r="D2" s="108">
        <v>0.06</v>
      </c>
      <c r="E2" s="108">
        <v>0.04</v>
      </c>
      <c r="F2" s="108">
        <v>0.04</v>
      </c>
      <c r="G2" s="108">
        <v>0.04</v>
      </c>
      <c r="H2" s="108">
        <v>89.69</v>
      </c>
      <c r="I2" s="108">
        <v>18.600000000000001</v>
      </c>
      <c r="J2" s="108">
        <v>0</v>
      </c>
      <c r="K2" s="108">
        <v>0</v>
      </c>
      <c r="L2" s="108">
        <v>5.62</v>
      </c>
      <c r="M2" s="108">
        <v>24.68</v>
      </c>
      <c r="N2" s="108">
        <v>18.71</v>
      </c>
      <c r="O2" s="108">
        <v>18.71</v>
      </c>
      <c r="P2" s="108">
        <v>25.38</v>
      </c>
      <c r="Q2" s="108">
        <v>22.83</v>
      </c>
      <c r="R2" s="108">
        <v>22.83</v>
      </c>
      <c r="S2" s="108">
        <v>28.12</v>
      </c>
      <c r="T2" s="108">
        <v>27.09</v>
      </c>
      <c r="U2" s="108">
        <v>0.02</v>
      </c>
      <c r="V2" s="108">
        <v>0.2</v>
      </c>
      <c r="W2" s="108">
        <v>0.14000000000000001</v>
      </c>
      <c r="X2" s="108">
        <v>0.08</v>
      </c>
      <c r="Y2" s="108">
        <v>11.26</v>
      </c>
      <c r="Z2" s="108">
        <v>9.77</v>
      </c>
      <c r="AA2" s="108">
        <v>7.91</v>
      </c>
      <c r="AB2" s="108">
        <v>24.68</v>
      </c>
      <c r="AC2" s="108">
        <v>18.71</v>
      </c>
      <c r="AD2" s="108">
        <v>18.71</v>
      </c>
      <c r="AE2" s="107">
        <v>7.7749014000000005E-2</v>
      </c>
      <c r="AF2" s="107">
        <v>7.5741179000000006E-2</v>
      </c>
      <c r="AG2" s="107">
        <v>8.4995874999999999E-2</v>
      </c>
      <c r="AH2" s="107">
        <v>8.2280850000000003E-2</v>
      </c>
      <c r="AI2" s="107">
        <v>5.2068030000000001E-2</v>
      </c>
      <c r="AJ2" s="107">
        <v>5.2068030000000001E-2</v>
      </c>
      <c r="AK2" s="107">
        <v>14.594126470000001</v>
      </c>
      <c r="AL2" s="107">
        <v>20.342661020000001</v>
      </c>
      <c r="AM2" s="107">
        <v>20.342661</v>
      </c>
      <c r="AN2" s="107">
        <v>20.342661</v>
      </c>
      <c r="AO2" s="107">
        <v>17.292362069999999</v>
      </c>
      <c r="AP2" s="107">
        <v>17.292362000000001</v>
      </c>
      <c r="AQ2" s="107">
        <v>17.292362000000001</v>
      </c>
      <c r="AR2" s="107">
        <v>20.441366670000001</v>
      </c>
      <c r="AS2" s="107">
        <v>20.08863036</v>
      </c>
      <c r="AT2" s="109">
        <v>1.4899999999999999E-4</v>
      </c>
      <c r="AU2" s="109">
        <v>1.5799999999999999E-4</v>
      </c>
      <c r="AV2" s="109">
        <v>1.93E-4</v>
      </c>
      <c r="AW2" s="109">
        <v>1.9900000000000001E-4</v>
      </c>
      <c r="AX2" s="109">
        <v>9.0400000000000002E-5</v>
      </c>
      <c r="AY2" s="109">
        <v>9.0400000000000002E-5</v>
      </c>
      <c r="AZ2" s="107">
        <v>7.8666719999999999E-3</v>
      </c>
      <c r="BA2" s="107">
        <v>4.7200028999999998E-2</v>
      </c>
      <c r="BB2" s="107">
        <v>4.7199999999999999E-2</v>
      </c>
      <c r="BC2" s="107">
        <v>4.7199999999999999E-2</v>
      </c>
      <c r="BD2" s="107">
        <v>4.7200028999999998E-2</v>
      </c>
      <c r="BE2" s="107">
        <v>4.7199999999999999E-2</v>
      </c>
      <c r="BF2" s="107">
        <v>4.7199999999999999E-2</v>
      </c>
      <c r="BG2" s="107">
        <v>4.7200028999999998E-2</v>
      </c>
      <c r="BH2" s="107">
        <v>4.7200028999999998E-2</v>
      </c>
      <c r="BI2" s="107">
        <v>4.3874040000000001E-3</v>
      </c>
      <c r="BJ2" s="107">
        <v>3.9277909999999999E-3</v>
      </c>
      <c r="BK2" s="107">
        <v>4.4323369999999997E-3</v>
      </c>
      <c r="BL2" s="107">
        <v>4.1620930000000004E-3</v>
      </c>
      <c r="BM2" s="107">
        <v>3.1120229999999998E-3</v>
      </c>
      <c r="BN2" s="107">
        <v>3.1120229999999998E-3</v>
      </c>
      <c r="BO2" s="107">
        <v>2.6878090000000002E-3</v>
      </c>
      <c r="BP2" s="107">
        <v>8.0634279999999992E-3</v>
      </c>
      <c r="BQ2" s="107">
        <v>8.0634000000000001E-3</v>
      </c>
      <c r="BR2" s="107">
        <v>8.0634000000000001E-3</v>
      </c>
      <c r="BS2" s="107">
        <v>8.0634279999999992E-3</v>
      </c>
      <c r="BT2" s="107">
        <v>8.0634000000000001E-3</v>
      </c>
      <c r="BU2" s="107">
        <v>8.0634000000000001E-3</v>
      </c>
      <c r="BV2" s="107">
        <v>8.0634279999999992E-3</v>
      </c>
      <c r="BW2" s="107">
        <v>8.0634279999999992E-3</v>
      </c>
    </row>
    <row r="3" spans="1:75" x14ac:dyDescent="0.25">
      <c r="A3" s="107">
        <v>2</v>
      </c>
      <c r="B3" s="108">
        <v>0.06</v>
      </c>
      <c r="C3" s="108">
        <v>0.05</v>
      </c>
      <c r="D3" s="108">
        <v>0.06</v>
      </c>
      <c r="E3" s="108">
        <v>0.05</v>
      </c>
      <c r="F3" s="108">
        <v>0.04</v>
      </c>
      <c r="G3" s="108">
        <v>0.04</v>
      </c>
      <c r="H3" s="108">
        <v>49.6</v>
      </c>
      <c r="I3" s="108">
        <v>18.32</v>
      </c>
      <c r="J3" s="108">
        <v>0</v>
      </c>
      <c r="K3" s="108">
        <v>0</v>
      </c>
      <c r="L3" s="108">
        <v>4.7300000000000004</v>
      </c>
      <c r="M3" s="108">
        <v>25</v>
      </c>
      <c r="N3" s="108">
        <v>18.239999999999998</v>
      </c>
      <c r="O3" s="108">
        <v>18.190000000000001</v>
      </c>
      <c r="P3" s="108">
        <v>25.19</v>
      </c>
      <c r="Q3" s="108">
        <v>22.61</v>
      </c>
      <c r="R3" s="108">
        <v>22.51</v>
      </c>
      <c r="S3" s="108">
        <v>28.19</v>
      </c>
      <c r="T3" s="108">
        <v>26.53</v>
      </c>
      <c r="U3" s="108">
        <v>0.02</v>
      </c>
      <c r="V3" s="108">
        <v>0.21</v>
      </c>
      <c r="W3" s="108">
        <v>0.14000000000000001</v>
      </c>
      <c r="X3" s="108">
        <v>0.08</v>
      </c>
      <c r="Y3" s="108">
        <v>10.72</v>
      </c>
      <c r="Z3" s="108">
        <v>9.9600000000000009</v>
      </c>
      <c r="AA3" s="108">
        <v>7.69</v>
      </c>
      <c r="AB3" s="108">
        <v>25</v>
      </c>
      <c r="AC3" s="108">
        <v>18.239999999999998</v>
      </c>
      <c r="AD3" s="108">
        <v>18.190000000000001</v>
      </c>
      <c r="AE3" s="107">
        <v>8.0499328999999994E-2</v>
      </c>
      <c r="AF3" s="107">
        <v>7.9677276000000005E-2</v>
      </c>
      <c r="AG3" s="107">
        <v>8.9508689000000002E-2</v>
      </c>
      <c r="AH3" s="107">
        <v>8.6465298999999995E-2</v>
      </c>
      <c r="AI3" s="107">
        <v>5.4188785000000003E-2</v>
      </c>
      <c r="AJ3" s="107">
        <v>5.4188785000000003E-2</v>
      </c>
      <c r="AK3" s="107">
        <v>14.8656451</v>
      </c>
      <c r="AL3" s="107">
        <v>20.721129130000001</v>
      </c>
      <c r="AM3" s="107">
        <v>20.721129000000001</v>
      </c>
      <c r="AN3" s="107">
        <v>20.721129000000001</v>
      </c>
      <c r="AO3" s="107">
        <v>17.614080430000001</v>
      </c>
      <c r="AP3" s="107">
        <v>17.614080000000001</v>
      </c>
      <c r="AQ3" s="107">
        <v>17.614080000000001</v>
      </c>
      <c r="AR3" s="107">
        <v>20.821671169999998</v>
      </c>
      <c r="AS3" s="107">
        <v>20.46237232</v>
      </c>
      <c r="AT3" s="109">
        <v>1.63E-4</v>
      </c>
      <c r="AU3" s="109">
        <v>1.75E-4</v>
      </c>
      <c r="AV3" s="109">
        <v>2.0900000000000001E-4</v>
      </c>
      <c r="AW3" s="109">
        <v>2.1100000000000001E-4</v>
      </c>
      <c r="AX3" s="109">
        <v>9.7100000000000002E-5</v>
      </c>
      <c r="AY3" s="109">
        <v>9.7100000000000002E-5</v>
      </c>
      <c r="AZ3" s="107">
        <v>8.0235140000000007E-3</v>
      </c>
      <c r="BA3" s="107">
        <v>4.8141082000000002E-2</v>
      </c>
      <c r="BB3" s="107">
        <v>4.8141099999999999E-2</v>
      </c>
      <c r="BC3" s="107">
        <v>4.8141099999999999E-2</v>
      </c>
      <c r="BD3" s="107">
        <v>4.8141082000000002E-2</v>
      </c>
      <c r="BE3" s="107">
        <v>4.8141099999999999E-2</v>
      </c>
      <c r="BF3" s="107">
        <v>4.8141099999999999E-2</v>
      </c>
      <c r="BG3" s="107">
        <v>4.8141082000000002E-2</v>
      </c>
      <c r="BH3" s="107">
        <v>4.8141082000000002E-2</v>
      </c>
      <c r="BI3" s="107">
        <v>4.4091909999999998E-3</v>
      </c>
      <c r="BJ3" s="107">
        <v>4.0083080000000004E-3</v>
      </c>
      <c r="BK3" s="107">
        <v>4.5598770000000004E-3</v>
      </c>
      <c r="BL3" s="107">
        <v>4.3072529999999996E-3</v>
      </c>
      <c r="BM3" s="107">
        <v>3.1656470000000002E-3</v>
      </c>
      <c r="BN3" s="107">
        <v>3.1656470000000002E-3</v>
      </c>
      <c r="BO3" s="107">
        <v>2.783757E-3</v>
      </c>
      <c r="BP3" s="107">
        <v>8.3512699999999992E-3</v>
      </c>
      <c r="BQ3" s="107">
        <v>8.3513000000000007E-3</v>
      </c>
      <c r="BR3" s="107">
        <v>8.3513000000000007E-3</v>
      </c>
      <c r="BS3" s="107">
        <v>8.3512699999999992E-3</v>
      </c>
      <c r="BT3" s="107">
        <v>8.3513000000000007E-3</v>
      </c>
      <c r="BU3" s="107">
        <v>8.3513000000000007E-3</v>
      </c>
      <c r="BV3" s="107">
        <v>8.3512699999999992E-3</v>
      </c>
      <c r="BW3" s="107">
        <v>8.3512699999999992E-3</v>
      </c>
    </row>
    <row r="4" spans="1:75" x14ac:dyDescent="0.25">
      <c r="A4" s="107">
        <v>3</v>
      </c>
      <c r="B4" s="108">
        <v>0.06</v>
      </c>
      <c r="C4" s="108">
        <v>0.05</v>
      </c>
      <c r="D4" s="108">
        <v>0.06</v>
      </c>
      <c r="E4" s="108">
        <v>0.05</v>
      </c>
      <c r="F4" s="108">
        <v>0.04</v>
      </c>
      <c r="G4" s="108">
        <v>0.04</v>
      </c>
      <c r="H4" s="108">
        <v>42.36</v>
      </c>
      <c r="I4" s="108">
        <v>18.309999999999999</v>
      </c>
      <c r="J4" s="108">
        <v>0</v>
      </c>
      <c r="K4" s="108">
        <v>0</v>
      </c>
      <c r="L4" s="108">
        <v>4.71</v>
      </c>
      <c r="M4" s="108">
        <v>25.57</v>
      </c>
      <c r="N4" s="108">
        <v>17.97</v>
      </c>
      <c r="O4" s="108">
        <v>17.87</v>
      </c>
      <c r="P4" s="108">
        <v>25.19</v>
      </c>
      <c r="Q4" s="108">
        <v>22.75</v>
      </c>
      <c r="R4" s="108">
        <v>22.7</v>
      </c>
      <c r="S4" s="108">
        <v>28.53</v>
      </c>
      <c r="T4" s="108">
        <v>26.25</v>
      </c>
      <c r="U4" s="108">
        <v>0.02</v>
      </c>
      <c r="V4" s="108">
        <v>0.21</v>
      </c>
      <c r="W4" s="108">
        <v>0.14000000000000001</v>
      </c>
      <c r="X4" s="108">
        <v>0.08</v>
      </c>
      <c r="Y4" s="108">
        <v>10.38</v>
      </c>
      <c r="Z4" s="108">
        <v>10.34</v>
      </c>
      <c r="AA4" s="108">
        <v>7.76</v>
      </c>
      <c r="AB4" s="108">
        <v>25.57</v>
      </c>
      <c r="AC4" s="108">
        <v>17.97</v>
      </c>
      <c r="AD4" s="108">
        <v>17.87</v>
      </c>
      <c r="AE4" s="107">
        <v>8.3297273000000005E-2</v>
      </c>
      <c r="AF4" s="107">
        <v>8.3705682000000003E-2</v>
      </c>
      <c r="AG4" s="107">
        <v>9.4128589999999998E-2</v>
      </c>
      <c r="AH4" s="107">
        <v>9.0746683999999994E-2</v>
      </c>
      <c r="AI4" s="107">
        <v>5.6351623000000003E-2</v>
      </c>
      <c r="AJ4" s="107">
        <v>5.6351623000000003E-2</v>
      </c>
      <c r="AK4" s="107">
        <v>15.137163729999999</v>
      </c>
      <c r="AL4" s="107">
        <v>21.099597240000001</v>
      </c>
      <c r="AM4" s="107">
        <v>21.099596999999999</v>
      </c>
      <c r="AN4" s="107">
        <v>21.099596999999999</v>
      </c>
      <c r="AO4" s="107">
        <v>17.93579879</v>
      </c>
      <c r="AP4" s="107">
        <v>17.935798999999999</v>
      </c>
      <c r="AQ4" s="107">
        <v>17.935798999999999</v>
      </c>
      <c r="AR4" s="107">
        <v>21.201975669999999</v>
      </c>
      <c r="AS4" s="107">
        <v>20.83611428</v>
      </c>
      <c r="AT4" s="109">
        <v>1.7699999999999999E-4</v>
      </c>
      <c r="AU4" s="109">
        <v>1.92E-4</v>
      </c>
      <c r="AV4" s="109">
        <v>2.24E-4</v>
      </c>
      <c r="AW4" s="109">
        <v>2.23E-4</v>
      </c>
      <c r="AX4" s="109">
        <v>1.0399999999999999E-4</v>
      </c>
      <c r="AY4" s="109">
        <v>1.0399999999999999E-4</v>
      </c>
      <c r="AZ4" s="107">
        <v>8.1803559999999997E-3</v>
      </c>
      <c r="BA4" s="107">
        <v>4.9082135999999998E-2</v>
      </c>
      <c r="BB4" s="107">
        <v>4.9082099999999997E-2</v>
      </c>
      <c r="BC4" s="107">
        <v>4.9082099999999997E-2</v>
      </c>
      <c r="BD4" s="107">
        <v>4.9082135999999998E-2</v>
      </c>
      <c r="BE4" s="107">
        <v>4.9082099999999997E-2</v>
      </c>
      <c r="BF4" s="107">
        <v>4.9082099999999997E-2</v>
      </c>
      <c r="BG4" s="107">
        <v>4.9082135999999998E-2</v>
      </c>
      <c r="BH4" s="107">
        <v>4.9082135999999998E-2</v>
      </c>
      <c r="BI4" s="107">
        <v>4.4236470000000002E-3</v>
      </c>
      <c r="BJ4" s="107">
        <v>4.0865240000000002E-3</v>
      </c>
      <c r="BK4" s="107">
        <v>4.6873840000000002E-3</v>
      </c>
      <c r="BL4" s="107">
        <v>4.4541559999999999E-3</v>
      </c>
      <c r="BM4" s="107">
        <v>3.2167390000000001E-3</v>
      </c>
      <c r="BN4" s="107">
        <v>3.2167390000000001E-3</v>
      </c>
      <c r="BO4" s="107">
        <v>2.8809840000000001E-3</v>
      </c>
      <c r="BP4" s="107">
        <v>8.6429509999999994E-3</v>
      </c>
      <c r="BQ4" s="107">
        <v>8.6429999999999996E-3</v>
      </c>
      <c r="BR4" s="107">
        <v>8.6429999999999996E-3</v>
      </c>
      <c r="BS4" s="107">
        <v>8.6429509999999994E-3</v>
      </c>
      <c r="BT4" s="107">
        <v>8.6429999999999996E-3</v>
      </c>
      <c r="BU4" s="107">
        <v>8.6429999999999996E-3</v>
      </c>
      <c r="BV4" s="107">
        <v>8.6429509999999994E-3</v>
      </c>
      <c r="BW4" s="107">
        <v>8.6429509999999994E-3</v>
      </c>
    </row>
    <row r="5" spans="1:75" x14ac:dyDescent="0.25">
      <c r="A5" s="107">
        <v>4</v>
      </c>
      <c r="B5" s="108">
        <v>0.06</v>
      </c>
      <c r="C5" s="108">
        <v>0.05</v>
      </c>
      <c r="D5" s="108">
        <v>0.06</v>
      </c>
      <c r="E5" s="108">
        <v>0.05</v>
      </c>
      <c r="F5" s="108">
        <v>0.04</v>
      </c>
      <c r="G5" s="108">
        <v>0.04</v>
      </c>
      <c r="H5" s="108">
        <v>63.21</v>
      </c>
      <c r="I5" s="108">
        <v>18.3</v>
      </c>
      <c r="J5" s="108">
        <v>0</v>
      </c>
      <c r="K5" s="108">
        <v>0</v>
      </c>
      <c r="L5" s="108">
        <v>4.59</v>
      </c>
      <c r="M5" s="108">
        <v>26.19</v>
      </c>
      <c r="N5" s="108">
        <v>17.72</v>
      </c>
      <c r="O5" s="108">
        <v>17.57</v>
      </c>
      <c r="P5" s="108">
        <v>25.4</v>
      </c>
      <c r="Q5" s="108">
        <v>23.11</v>
      </c>
      <c r="R5" s="108">
        <v>23.23</v>
      </c>
      <c r="S5" s="108">
        <v>28.89</v>
      </c>
      <c r="T5" s="108">
        <v>25.94</v>
      </c>
      <c r="U5" s="108">
        <v>0.02</v>
      </c>
      <c r="V5" s="108">
        <v>0.22</v>
      </c>
      <c r="W5" s="108">
        <v>0.14000000000000001</v>
      </c>
      <c r="X5" s="108">
        <v>0.08</v>
      </c>
      <c r="Y5" s="108">
        <v>10.19</v>
      </c>
      <c r="Z5" s="108">
        <v>10.84</v>
      </c>
      <c r="AA5" s="108">
        <v>7.94</v>
      </c>
      <c r="AB5" s="108">
        <v>26.19</v>
      </c>
      <c r="AC5" s="108">
        <v>17.72</v>
      </c>
      <c r="AD5" s="108">
        <v>17.57</v>
      </c>
      <c r="AE5" s="107">
        <v>8.5763360999999996E-2</v>
      </c>
      <c r="AF5" s="107">
        <v>8.7439496000000005E-2</v>
      </c>
      <c r="AG5" s="107">
        <v>9.8420090000000002E-2</v>
      </c>
      <c r="AH5" s="107">
        <v>9.4705952999999996E-2</v>
      </c>
      <c r="AI5" s="107">
        <v>5.8298586999999999E-2</v>
      </c>
      <c r="AJ5" s="107">
        <v>5.8298586999999999E-2</v>
      </c>
      <c r="AK5" s="107">
        <v>15.34080271</v>
      </c>
      <c r="AL5" s="107">
        <v>21.38344833</v>
      </c>
      <c r="AM5" s="107">
        <v>21.383448000000001</v>
      </c>
      <c r="AN5" s="107">
        <v>21.383448000000001</v>
      </c>
      <c r="AO5" s="107">
        <v>18.177087570000001</v>
      </c>
      <c r="AP5" s="107">
        <v>18.177088000000001</v>
      </c>
      <c r="AQ5" s="107">
        <v>18.177088000000001</v>
      </c>
      <c r="AR5" s="107">
        <v>21.487204040000002</v>
      </c>
      <c r="AS5" s="107">
        <v>21.11642075</v>
      </c>
      <c r="AT5" s="109">
        <v>1.92E-4</v>
      </c>
      <c r="AU5" s="109">
        <v>2.1000000000000001E-4</v>
      </c>
      <c r="AV5" s="109">
        <v>2.4000000000000001E-4</v>
      </c>
      <c r="AW5" s="109">
        <v>2.3599999999999999E-4</v>
      </c>
      <c r="AX5" s="109">
        <v>1.11E-4</v>
      </c>
      <c r="AY5" s="109">
        <v>1.11E-4</v>
      </c>
      <c r="AZ5" s="107">
        <v>8.3370700000000002E-3</v>
      </c>
      <c r="BA5" s="107">
        <v>5.0022420999999997E-2</v>
      </c>
      <c r="BB5" s="107">
        <v>5.0022400000000002E-2</v>
      </c>
      <c r="BC5" s="107">
        <v>5.0022400000000002E-2</v>
      </c>
      <c r="BD5" s="107">
        <v>5.0022420999999997E-2</v>
      </c>
      <c r="BE5" s="107">
        <v>5.0022400000000002E-2</v>
      </c>
      <c r="BF5" s="107">
        <v>5.0022400000000002E-2</v>
      </c>
      <c r="BG5" s="107">
        <v>5.0022420999999997E-2</v>
      </c>
      <c r="BH5" s="107">
        <v>5.0022420999999997E-2</v>
      </c>
      <c r="BI5" s="107">
        <v>4.4267830000000001E-3</v>
      </c>
      <c r="BJ5" s="107">
        <v>4.1587830000000001E-3</v>
      </c>
      <c r="BK5" s="107">
        <v>4.8106800000000003E-3</v>
      </c>
      <c r="BL5" s="107">
        <v>4.5988449999999998E-3</v>
      </c>
      <c r="BM5" s="107">
        <v>3.2624139999999999E-3</v>
      </c>
      <c r="BN5" s="107">
        <v>3.2624139999999999E-3</v>
      </c>
      <c r="BO5" s="107">
        <v>2.9769309999999999E-3</v>
      </c>
      <c r="BP5" s="107">
        <v>8.9307929999999994E-3</v>
      </c>
      <c r="BQ5" s="107">
        <v>8.9307999999999992E-3</v>
      </c>
      <c r="BR5" s="107">
        <v>8.9307999999999992E-3</v>
      </c>
      <c r="BS5" s="107">
        <v>8.9307929999999994E-3</v>
      </c>
      <c r="BT5" s="107">
        <v>8.9307999999999992E-3</v>
      </c>
      <c r="BU5" s="107">
        <v>8.9307999999999992E-3</v>
      </c>
      <c r="BV5" s="107">
        <v>8.9307929999999994E-3</v>
      </c>
      <c r="BW5" s="107">
        <v>8.9307929999999994E-3</v>
      </c>
    </row>
    <row r="6" spans="1:75" x14ac:dyDescent="0.25">
      <c r="A6" s="107">
        <v>5</v>
      </c>
      <c r="B6" s="108">
        <v>7.0000000000000007E-2</v>
      </c>
      <c r="C6" s="108">
        <v>0.05</v>
      </c>
      <c r="D6" s="108">
        <v>7.0000000000000007E-2</v>
      </c>
      <c r="E6" s="108">
        <v>0.05</v>
      </c>
      <c r="F6" s="108">
        <v>0.04</v>
      </c>
      <c r="G6" s="108">
        <v>0.04</v>
      </c>
      <c r="H6" s="108">
        <v>57.55</v>
      </c>
      <c r="I6" s="108">
        <v>18.29</v>
      </c>
      <c r="J6" s="108">
        <v>0</v>
      </c>
      <c r="K6" s="108">
        <v>0</v>
      </c>
      <c r="L6" s="108">
        <v>5.0199999999999996</v>
      </c>
      <c r="M6" s="108">
        <v>26.88</v>
      </c>
      <c r="N6" s="108">
        <v>17.5</v>
      </c>
      <c r="O6" s="108">
        <v>17.3</v>
      </c>
      <c r="P6" s="108">
        <v>25.8</v>
      </c>
      <c r="Q6" s="108">
        <v>23.63</v>
      </c>
      <c r="R6" s="108">
        <v>23.99</v>
      </c>
      <c r="S6" s="108">
        <v>29.3</v>
      </c>
      <c r="T6" s="108">
        <v>26</v>
      </c>
      <c r="U6" s="108">
        <v>0.02</v>
      </c>
      <c r="V6" s="108">
        <v>0.22</v>
      </c>
      <c r="W6" s="108">
        <v>0.15</v>
      </c>
      <c r="X6" s="108">
        <v>0.08</v>
      </c>
      <c r="Y6" s="108">
        <v>9.98</v>
      </c>
      <c r="Z6" s="108">
        <v>11.31</v>
      </c>
      <c r="AA6" s="108">
        <v>8.15</v>
      </c>
      <c r="AB6" s="108">
        <v>26.88</v>
      </c>
      <c r="AC6" s="108">
        <v>17.5</v>
      </c>
      <c r="AD6" s="108">
        <v>17.3</v>
      </c>
      <c r="AE6" s="107">
        <v>8.8650607000000006E-2</v>
      </c>
      <c r="AF6" s="107">
        <v>9.1640980999999996E-2</v>
      </c>
      <c r="AG6" s="107">
        <v>0.10324077800000001</v>
      </c>
      <c r="AH6" s="107">
        <v>9.9169093999999999E-2</v>
      </c>
      <c r="AI6" s="107">
        <v>6.0540333000000002E-2</v>
      </c>
      <c r="AJ6" s="107">
        <v>6.0540333000000002E-2</v>
      </c>
      <c r="AK6" s="107">
        <v>15.612321339999999</v>
      </c>
      <c r="AL6" s="107">
        <v>21.76191644</v>
      </c>
      <c r="AM6" s="107">
        <v>21.761915999999999</v>
      </c>
      <c r="AN6" s="107">
        <v>21.761915999999999</v>
      </c>
      <c r="AO6" s="107">
        <v>18.49880593</v>
      </c>
      <c r="AP6" s="107">
        <v>18.498805999999998</v>
      </c>
      <c r="AQ6" s="107">
        <v>18.498805999999998</v>
      </c>
      <c r="AR6" s="107">
        <v>21.867508529999999</v>
      </c>
      <c r="AS6" s="107">
        <v>21.49016271</v>
      </c>
      <c r="AT6" s="109">
        <v>2.0799999999999999E-4</v>
      </c>
      <c r="AU6" s="109">
        <v>2.2800000000000001E-4</v>
      </c>
      <c r="AV6" s="109">
        <v>2.5700000000000001E-4</v>
      </c>
      <c r="AW6" s="109">
        <v>2.4899999999999998E-4</v>
      </c>
      <c r="AX6" s="109">
        <v>1.1900000000000001E-4</v>
      </c>
      <c r="AY6" s="109">
        <v>1.1900000000000001E-4</v>
      </c>
      <c r="AZ6" s="107">
        <v>8.4939119999999993E-3</v>
      </c>
      <c r="BA6" s="107">
        <v>5.0963474000000002E-2</v>
      </c>
      <c r="BB6" s="107">
        <v>5.0963500000000002E-2</v>
      </c>
      <c r="BC6" s="107">
        <v>5.0963500000000002E-2</v>
      </c>
      <c r="BD6" s="107">
        <v>5.0963474000000002E-2</v>
      </c>
      <c r="BE6" s="107">
        <v>5.0963500000000002E-2</v>
      </c>
      <c r="BF6" s="107">
        <v>5.0963500000000002E-2</v>
      </c>
      <c r="BG6" s="107">
        <v>5.0963474000000002E-2</v>
      </c>
      <c r="BH6" s="107">
        <v>5.0963474000000002E-2</v>
      </c>
      <c r="BI6" s="107">
        <v>4.4224640000000001E-3</v>
      </c>
      <c r="BJ6" s="107">
        <v>4.2286870000000001E-3</v>
      </c>
      <c r="BK6" s="107">
        <v>4.9339140000000002E-3</v>
      </c>
      <c r="BL6" s="107">
        <v>4.7452730000000004E-3</v>
      </c>
      <c r="BM6" s="107">
        <v>3.305503E-3</v>
      </c>
      <c r="BN6" s="107">
        <v>3.305503E-3</v>
      </c>
      <c r="BO6" s="107">
        <v>3.074158E-3</v>
      </c>
      <c r="BP6" s="107">
        <v>9.2224739999999996E-3</v>
      </c>
      <c r="BQ6" s="107">
        <v>9.2224999999999998E-3</v>
      </c>
      <c r="BR6" s="107">
        <v>9.2224999999999998E-3</v>
      </c>
      <c r="BS6" s="107">
        <v>9.2224739999999996E-3</v>
      </c>
      <c r="BT6" s="107">
        <v>9.2224999999999998E-3</v>
      </c>
      <c r="BU6" s="107">
        <v>9.2224999999999998E-3</v>
      </c>
      <c r="BV6" s="107">
        <v>9.2224739999999996E-3</v>
      </c>
      <c r="BW6" s="107">
        <v>9.2224739999999996E-3</v>
      </c>
    </row>
    <row r="7" spans="1:75" x14ac:dyDescent="0.25">
      <c r="A7" s="107">
        <v>6</v>
      </c>
      <c r="B7" s="108">
        <v>7.0000000000000007E-2</v>
      </c>
      <c r="C7" s="108">
        <v>0.05</v>
      </c>
      <c r="D7" s="108">
        <v>7.0000000000000007E-2</v>
      </c>
      <c r="E7" s="108">
        <v>0.05</v>
      </c>
      <c r="F7" s="108">
        <v>0.04</v>
      </c>
      <c r="G7" s="108">
        <v>0.04</v>
      </c>
      <c r="H7" s="108">
        <v>60.93</v>
      </c>
      <c r="I7" s="108">
        <v>18.3</v>
      </c>
      <c r="J7" s="108">
        <v>0</v>
      </c>
      <c r="K7" s="108">
        <v>0</v>
      </c>
      <c r="L7" s="108">
        <v>5.0199999999999996</v>
      </c>
      <c r="M7" s="108">
        <v>26.98</v>
      </c>
      <c r="N7" s="108">
        <v>17.559999999999999</v>
      </c>
      <c r="O7" s="108">
        <v>17.36</v>
      </c>
      <c r="P7" s="108">
        <v>26.27</v>
      </c>
      <c r="Q7" s="108">
        <v>24.12</v>
      </c>
      <c r="R7" s="108">
        <v>24.72</v>
      </c>
      <c r="S7" s="108">
        <v>29.38</v>
      </c>
      <c r="T7" s="108">
        <v>26.05</v>
      </c>
      <c r="U7" s="108">
        <v>0.02</v>
      </c>
      <c r="V7" s="108">
        <v>0.22</v>
      </c>
      <c r="W7" s="108">
        <v>0.15</v>
      </c>
      <c r="X7" s="108">
        <v>0.08</v>
      </c>
      <c r="Y7" s="108">
        <v>10.199999999999999</v>
      </c>
      <c r="Z7" s="108">
        <v>11.51</v>
      </c>
      <c r="AA7" s="108">
        <v>8.3699999999999992</v>
      </c>
      <c r="AB7" s="108">
        <v>26.98</v>
      </c>
      <c r="AC7" s="108">
        <v>17.559999999999999</v>
      </c>
      <c r="AD7" s="108">
        <v>17.36</v>
      </c>
      <c r="AE7" s="107">
        <v>7.9481003999999994E-2</v>
      </c>
      <c r="AF7" s="107">
        <v>8.2219087999999996E-2</v>
      </c>
      <c r="AG7" s="107">
        <v>9.3202197000000001E-2</v>
      </c>
      <c r="AH7" s="107">
        <v>8.8827392000000005E-2</v>
      </c>
      <c r="AI7" s="107">
        <v>5.2915772999999999E-2</v>
      </c>
      <c r="AJ7" s="107">
        <v>5.2915772999999999E-2</v>
      </c>
      <c r="AK7" s="107">
        <v>15.88383997</v>
      </c>
      <c r="AL7" s="107">
        <v>22.14038455</v>
      </c>
      <c r="AM7" s="107">
        <v>22.140384999999998</v>
      </c>
      <c r="AN7" s="107">
        <v>22.140384999999998</v>
      </c>
      <c r="AO7" s="107">
        <v>18.820524290000002</v>
      </c>
      <c r="AP7" s="107">
        <v>18.820523999999999</v>
      </c>
      <c r="AQ7" s="107">
        <v>18.820523999999999</v>
      </c>
      <c r="AR7" s="107">
        <v>22.24781303</v>
      </c>
      <c r="AS7" s="107">
        <v>21.86390467</v>
      </c>
      <c r="AT7" s="109">
        <v>1.76E-4</v>
      </c>
      <c r="AU7" s="109">
        <v>1.93E-4</v>
      </c>
      <c r="AV7" s="109">
        <v>2.1800000000000001E-4</v>
      </c>
      <c r="AW7" s="109">
        <v>2.1000000000000001E-4</v>
      </c>
      <c r="AX7" s="109">
        <v>9.9699999999999998E-5</v>
      </c>
      <c r="AY7" s="109">
        <v>9.9699999999999998E-5</v>
      </c>
      <c r="AZ7" s="107">
        <v>8.6538250000000004E-3</v>
      </c>
      <c r="BA7" s="107">
        <v>5.1922949000000003E-2</v>
      </c>
      <c r="BB7" s="107">
        <v>5.1922900000000001E-2</v>
      </c>
      <c r="BC7" s="107">
        <v>5.1922900000000001E-2</v>
      </c>
      <c r="BD7" s="107">
        <v>5.1922949000000003E-2</v>
      </c>
      <c r="BE7" s="107">
        <v>5.1922900000000001E-2</v>
      </c>
      <c r="BF7" s="107">
        <v>5.1922900000000001E-2</v>
      </c>
      <c r="BG7" s="107">
        <v>5.1922949000000003E-2</v>
      </c>
      <c r="BH7" s="107">
        <v>5.1922949000000003E-2</v>
      </c>
      <c r="BI7" s="107">
        <v>4.132915E-3</v>
      </c>
      <c r="BJ7" s="107">
        <v>3.9600909999999998E-3</v>
      </c>
      <c r="BK7" s="107">
        <v>4.6737699999999998E-3</v>
      </c>
      <c r="BL7" s="107">
        <v>4.4485779999999999E-3</v>
      </c>
      <c r="BM7" s="107">
        <v>2.9847279999999999E-3</v>
      </c>
      <c r="BN7" s="107">
        <v>2.9847279999999999E-3</v>
      </c>
      <c r="BO7" s="107">
        <v>3.185457E-3</v>
      </c>
      <c r="BP7" s="107">
        <v>9.5563709999999993E-3</v>
      </c>
      <c r="BQ7" s="107">
        <v>9.5563999999999996E-3</v>
      </c>
      <c r="BR7" s="107">
        <v>9.5563999999999996E-3</v>
      </c>
      <c r="BS7" s="107">
        <v>9.5563709999999993E-3</v>
      </c>
      <c r="BT7" s="107">
        <v>9.5563999999999996E-3</v>
      </c>
      <c r="BU7" s="107">
        <v>9.5563999999999996E-3</v>
      </c>
      <c r="BV7" s="107">
        <v>9.5563709999999993E-3</v>
      </c>
      <c r="BW7" s="107">
        <v>9.5563709999999993E-3</v>
      </c>
    </row>
    <row r="8" spans="1:75" x14ac:dyDescent="0.25">
      <c r="A8" s="107">
        <v>7</v>
      </c>
      <c r="B8" s="108">
        <v>0.06</v>
      </c>
      <c r="C8" s="108">
        <v>0.05</v>
      </c>
      <c r="D8" s="108">
        <v>0.06</v>
      </c>
      <c r="E8" s="108">
        <v>0.05</v>
      </c>
      <c r="F8" s="108">
        <v>0.04</v>
      </c>
      <c r="G8" s="108">
        <v>0.04</v>
      </c>
      <c r="H8" s="108">
        <v>74.260000000000005</v>
      </c>
      <c r="I8" s="108">
        <v>18.29</v>
      </c>
      <c r="J8" s="108">
        <v>0</v>
      </c>
      <c r="K8" s="108">
        <v>0</v>
      </c>
      <c r="L8" s="108">
        <v>5.01</v>
      </c>
      <c r="M8" s="108">
        <v>26.83</v>
      </c>
      <c r="N8" s="108">
        <v>17.489999999999998</v>
      </c>
      <c r="O8" s="108">
        <v>17.3</v>
      </c>
      <c r="P8" s="108">
        <v>27.07</v>
      </c>
      <c r="Q8" s="108">
        <v>25.08</v>
      </c>
      <c r="R8" s="108">
        <v>26.16</v>
      </c>
      <c r="S8" s="108">
        <v>29.25</v>
      </c>
      <c r="T8" s="108">
        <v>25.93</v>
      </c>
      <c r="U8" s="108">
        <v>0.02</v>
      </c>
      <c r="V8" s="108">
        <v>0.21</v>
      </c>
      <c r="W8" s="108">
        <v>0.14000000000000001</v>
      </c>
      <c r="X8" s="108">
        <v>0.08</v>
      </c>
      <c r="Y8" s="108">
        <v>10.71</v>
      </c>
      <c r="Z8" s="108">
        <v>12.01</v>
      </c>
      <c r="AA8" s="108">
        <v>9.1</v>
      </c>
      <c r="AB8" s="108">
        <v>26.83</v>
      </c>
      <c r="AC8" s="108">
        <v>17.489999999999998</v>
      </c>
      <c r="AD8" s="108">
        <v>17.3</v>
      </c>
      <c r="AE8" s="107">
        <v>6.9651313000000006E-2</v>
      </c>
      <c r="AF8" s="107">
        <v>7.2116304000000006E-2</v>
      </c>
      <c r="AG8" s="107">
        <v>8.2411304000000005E-2</v>
      </c>
      <c r="AH8" s="107">
        <v>7.7745125999999998E-2</v>
      </c>
      <c r="AI8" s="107">
        <v>4.4805496E-2</v>
      </c>
      <c r="AJ8" s="107">
        <v>4.4805496E-2</v>
      </c>
      <c r="AK8" s="107">
        <v>16.087478950000001</v>
      </c>
      <c r="AL8" s="107">
        <v>22.424235639999999</v>
      </c>
      <c r="AM8" s="107">
        <v>22.424236000000001</v>
      </c>
      <c r="AN8" s="107">
        <v>22.424236000000001</v>
      </c>
      <c r="AO8" s="107">
        <v>19.061813069999999</v>
      </c>
      <c r="AP8" s="107">
        <v>19.061813000000001</v>
      </c>
      <c r="AQ8" s="107">
        <v>19.061813000000001</v>
      </c>
      <c r="AR8" s="107">
        <v>22.533041399999998</v>
      </c>
      <c r="AS8" s="107">
        <v>22.144211139999999</v>
      </c>
      <c r="AT8" s="109">
        <v>1.4300000000000001E-4</v>
      </c>
      <c r="AU8" s="109">
        <v>1.5699999999999999E-4</v>
      </c>
      <c r="AV8" s="109">
        <v>1.7699999999999999E-4</v>
      </c>
      <c r="AW8" s="109">
        <v>1.7000000000000001E-4</v>
      </c>
      <c r="AX8" s="109">
        <v>7.9900000000000004E-5</v>
      </c>
      <c r="AY8" s="109">
        <v>7.9900000000000004E-5</v>
      </c>
      <c r="AZ8" s="107">
        <v>8.8137370000000003E-3</v>
      </c>
      <c r="BA8" s="107">
        <v>5.2882423999999997E-2</v>
      </c>
      <c r="BB8" s="107">
        <v>5.2882400000000003E-2</v>
      </c>
      <c r="BC8" s="107">
        <v>5.2882400000000003E-2</v>
      </c>
      <c r="BD8" s="107">
        <v>5.2882423999999997E-2</v>
      </c>
      <c r="BE8" s="107">
        <v>5.2882400000000003E-2</v>
      </c>
      <c r="BF8" s="107">
        <v>5.2882400000000003E-2</v>
      </c>
      <c r="BG8" s="107">
        <v>5.2882423999999997E-2</v>
      </c>
      <c r="BH8" s="107">
        <v>5.2882423999999997E-2</v>
      </c>
      <c r="BI8" s="107">
        <v>3.8134229999999998E-3</v>
      </c>
      <c r="BJ8" s="107">
        <v>3.6634480000000001E-3</v>
      </c>
      <c r="BK8" s="107">
        <v>4.3846650000000003E-3</v>
      </c>
      <c r="BL8" s="107">
        <v>4.120744E-3</v>
      </c>
      <c r="BM8" s="107">
        <v>2.6341960000000001E-3</v>
      </c>
      <c r="BN8" s="107">
        <v>2.6341960000000001E-3</v>
      </c>
      <c r="BO8" s="107">
        <v>3.2980349999999999E-3</v>
      </c>
      <c r="BP8" s="107">
        <v>9.8941059999999997E-3</v>
      </c>
      <c r="BQ8" s="107">
        <v>9.8940999999999994E-3</v>
      </c>
      <c r="BR8" s="107">
        <v>9.8940999999999994E-3</v>
      </c>
      <c r="BS8" s="107">
        <v>9.8941059999999997E-3</v>
      </c>
      <c r="BT8" s="107">
        <v>9.8940999999999994E-3</v>
      </c>
      <c r="BU8" s="107">
        <v>9.8940999999999994E-3</v>
      </c>
      <c r="BV8" s="107">
        <v>9.8941059999999997E-3</v>
      </c>
      <c r="BW8" s="107">
        <v>9.8941059999999997E-3</v>
      </c>
    </row>
    <row r="9" spans="1:75" x14ac:dyDescent="0.25">
      <c r="A9" s="107">
        <v>8</v>
      </c>
      <c r="B9" s="108">
        <v>0.06</v>
      </c>
      <c r="C9" s="108">
        <v>0.05</v>
      </c>
      <c r="D9" s="108">
        <v>0.06</v>
      </c>
      <c r="E9" s="108">
        <v>0.05</v>
      </c>
      <c r="F9" s="108">
        <v>0.04</v>
      </c>
      <c r="G9" s="108">
        <v>0.04</v>
      </c>
      <c r="H9" s="108">
        <v>67.34</v>
      </c>
      <c r="I9" s="108">
        <v>18.28</v>
      </c>
      <c r="J9" s="108">
        <v>0</v>
      </c>
      <c r="K9" s="108">
        <v>0</v>
      </c>
      <c r="L9" s="108">
        <v>5.01</v>
      </c>
      <c r="M9" s="108">
        <v>27.26</v>
      </c>
      <c r="N9" s="108">
        <v>17.79</v>
      </c>
      <c r="O9" s="108">
        <v>17.600000000000001</v>
      </c>
      <c r="P9" s="108">
        <v>28.12</v>
      </c>
      <c r="Q9" s="108">
        <v>26.22</v>
      </c>
      <c r="R9" s="108">
        <v>27.91</v>
      </c>
      <c r="S9" s="108">
        <v>29.67</v>
      </c>
      <c r="T9" s="108">
        <v>25.83</v>
      </c>
      <c r="U9" s="108">
        <v>0.02</v>
      </c>
      <c r="V9" s="108">
        <v>0.22</v>
      </c>
      <c r="W9" s="108">
        <v>0.14000000000000001</v>
      </c>
      <c r="X9" s="108">
        <v>0.08</v>
      </c>
      <c r="Y9" s="108">
        <v>11.18</v>
      </c>
      <c r="Z9" s="108">
        <v>12.46</v>
      </c>
      <c r="AA9" s="108">
        <v>9.66</v>
      </c>
      <c r="AB9" s="108">
        <v>27.26</v>
      </c>
      <c r="AC9" s="108">
        <v>17.79</v>
      </c>
      <c r="AD9" s="108">
        <v>17.600000000000001</v>
      </c>
      <c r="AE9" s="107">
        <v>5.9795083999999998E-2</v>
      </c>
      <c r="AF9" s="107">
        <v>6.1988279E-2</v>
      </c>
      <c r="AG9" s="107">
        <v>7.1614127999999999E-2</v>
      </c>
      <c r="AH9" s="107">
        <v>6.6629938E-2</v>
      </c>
      <c r="AI9" s="107">
        <v>3.6624690000000001E-2</v>
      </c>
      <c r="AJ9" s="107">
        <v>3.6624690000000001E-2</v>
      </c>
      <c r="AK9" s="107">
        <v>16.35899758</v>
      </c>
      <c r="AL9" s="107">
        <v>22.802703749999999</v>
      </c>
      <c r="AM9" s="107">
        <v>22.802703999999999</v>
      </c>
      <c r="AN9" s="107">
        <v>22.802703999999999</v>
      </c>
      <c r="AO9" s="107">
        <v>19.383531430000001</v>
      </c>
      <c r="AP9" s="107">
        <v>19.383531000000001</v>
      </c>
      <c r="AQ9" s="107">
        <v>19.383531000000001</v>
      </c>
      <c r="AR9" s="107">
        <v>22.913345899999999</v>
      </c>
      <c r="AS9" s="107">
        <v>22.5179531</v>
      </c>
      <c r="AT9" s="109">
        <v>1.0900000000000001E-4</v>
      </c>
      <c r="AU9" s="109">
        <v>1.1900000000000001E-4</v>
      </c>
      <c r="AV9" s="109">
        <v>1.35E-4</v>
      </c>
      <c r="AW9" s="109">
        <v>1.2799999999999999E-4</v>
      </c>
      <c r="AX9" s="109">
        <v>5.9299999999999998E-5</v>
      </c>
      <c r="AY9" s="109">
        <v>5.9299999999999998E-5</v>
      </c>
      <c r="AZ9" s="107">
        <v>8.9736499999999997E-3</v>
      </c>
      <c r="BA9" s="107">
        <v>5.3841898999999999E-2</v>
      </c>
      <c r="BB9" s="107">
        <v>5.3841899999999998E-2</v>
      </c>
      <c r="BC9" s="107">
        <v>5.3841899999999998E-2</v>
      </c>
      <c r="BD9" s="107">
        <v>5.3841898999999999E-2</v>
      </c>
      <c r="BE9" s="107">
        <v>5.3841899999999998E-2</v>
      </c>
      <c r="BF9" s="107">
        <v>5.3841899999999998E-2</v>
      </c>
      <c r="BG9" s="107">
        <v>5.3841898999999999E-2</v>
      </c>
      <c r="BH9" s="107">
        <v>5.3841898999999999E-2</v>
      </c>
      <c r="BI9" s="107">
        <v>3.462148E-3</v>
      </c>
      <c r="BJ9" s="107">
        <v>3.3369990000000002E-3</v>
      </c>
      <c r="BK9" s="107">
        <v>4.0645459999999996E-3</v>
      </c>
      <c r="BL9" s="107">
        <v>3.7597949999999998E-3</v>
      </c>
      <c r="BM9" s="107">
        <v>2.2525319999999998E-3</v>
      </c>
      <c r="BN9" s="107">
        <v>2.2525319999999998E-3</v>
      </c>
      <c r="BO9" s="107">
        <v>3.4106140000000002E-3</v>
      </c>
      <c r="BP9" s="107">
        <v>1.0231841E-2</v>
      </c>
      <c r="BQ9" s="107">
        <v>1.0231799999999999E-2</v>
      </c>
      <c r="BR9" s="107">
        <v>1.0231799999999999E-2</v>
      </c>
      <c r="BS9" s="107">
        <v>1.0231841E-2</v>
      </c>
      <c r="BT9" s="107">
        <v>1.0231799999999999E-2</v>
      </c>
      <c r="BU9" s="107">
        <v>1.0231799999999999E-2</v>
      </c>
      <c r="BV9" s="107">
        <v>1.0231841E-2</v>
      </c>
      <c r="BW9" s="107">
        <v>1.0231841E-2</v>
      </c>
    </row>
    <row r="10" spans="1:75" x14ac:dyDescent="0.25">
      <c r="A10" s="107">
        <v>9</v>
      </c>
      <c r="B10" s="108">
        <v>0.06</v>
      </c>
      <c r="C10" s="108">
        <v>0.05</v>
      </c>
      <c r="D10" s="108">
        <v>0.06</v>
      </c>
      <c r="E10" s="108">
        <v>0.05</v>
      </c>
      <c r="F10" s="108">
        <v>0.04</v>
      </c>
      <c r="G10" s="108">
        <v>0.04</v>
      </c>
      <c r="H10" s="108">
        <v>74.77</v>
      </c>
      <c r="I10" s="108">
        <v>18.27</v>
      </c>
      <c r="J10" s="108">
        <v>0</v>
      </c>
      <c r="K10" s="108">
        <v>0</v>
      </c>
      <c r="L10" s="108">
        <v>5</v>
      </c>
      <c r="M10" s="108">
        <v>27.43</v>
      </c>
      <c r="N10" s="108">
        <v>17.920000000000002</v>
      </c>
      <c r="O10" s="108">
        <v>17.73</v>
      </c>
      <c r="P10" s="108">
        <v>29.04</v>
      </c>
      <c r="Q10" s="108">
        <v>26.97</v>
      </c>
      <c r="R10" s="108">
        <v>29.09</v>
      </c>
      <c r="S10" s="108">
        <v>29.84</v>
      </c>
      <c r="T10" s="108">
        <v>25.92</v>
      </c>
      <c r="U10" s="108">
        <v>0.02</v>
      </c>
      <c r="V10" s="108">
        <v>0.22</v>
      </c>
      <c r="W10" s="108">
        <v>0.14000000000000001</v>
      </c>
      <c r="X10" s="108">
        <v>0.08</v>
      </c>
      <c r="Y10" s="108">
        <v>11.49</v>
      </c>
      <c r="Z10" s="108">
        <v>12.72</v>
      </c>
      <c r="AA10" s="108">
        <v>9.9499999999999993</v>
      </c>
      <c r="AB10" s="108">
        <v>27.43</v>
      </c>
      <c r="AC10" s="108">
        <v>17.920000000000002</v>
      </c>
      <c r="AD10" s="108">
        <v>17.73</v>
      </c>
      <c r="AE10" s="107">
        <v>4.9572655E-2</v>
      </c>
      <c r="AF10" s="107">
        <v>5.1483650999999998E-2</v>
      </c>
      <c r="AG10" s="107">
        <v>6.0412369E-2</v>
      </c>
      <c r="AH10" s="107">
        <v>5.5102223999999998E-2</v>
      </c>
      <c r="AI10" s="107">
        <v>2.8147220000000001E-2</v>
      </c>
      <c r="AJ10" s="107">
        <v>2.8147220000000001E-2</v>
      </c>
      <c r="AK10" s="107">
        <v>16.63051621</v>
      </c>
      <c r="AL10" s="107">
        <v>23.181171859999999</v>
      </c>
      <c r="AM10" s="107">
        <v>23.181172</v>
      </c>
      <c r="AN10" s="107">
        <v>23.181172</v>
      </c>
      <c r="AO10" s="107">
        <v>19.705249800000001</v>
      </c>
      <c r="AP10" s="107">
        <v>19.705249999999999</v>
      </c>
      <c r="AQ10" s="107">
        <v>19.705249999999999</v>
      </c>
      <c r="AR10" s="107">
        <v>23.293650400000001</v>
      </c>
      <c r="AS10" s="107">
        <v>22.89169506</v>
      </c>
      <c r="AT10" s="109">
        <v>7.3700000000000002E-5</v>
      </c>
      <c r="AU10" s="109">
        <v>8.03E-5</v>
      </c>
      <c r="AV10" s="109">
        <v>9.09E-5</v>
      </c>
      <c r="AW10" s="109">
        <v>8.5099999999999995E-5</v>
      </c>
      <c r="AX10" s="109">
        <v>3.79E-5</v>
      </c>
      <c r="AY10" s="109">
        <v>3.79E-5</v>
      </c>
      <c r="AZ10" s="107">
        <v>9.1334339999999993E-3</v>
      </c>
      <c r="BA10" s="107">
        <v>5.4800607000000001E-2</v>
      </c>
      <c r="BB10" s="107">
        <v>5.4800599999999998E-2</v>
      </c>
      <c r="BC10" s="107">
        <v>5.4800599999999998E-2</v>
      </c>
      <c r="BD10" s="107">
        <v>5.4800607000000001E-2</v>
      </c>
      <c r="BE10" s="107">
        <v>5.4800599999999998E-2</v>
      </c>
      <c r="BF10" s="107">
        <v>5.4800599999999998E-2</v>
      </c>
      <c r="BG10" s="107">
        <v>5.4800607000000001E-2</v>
      </c>
      <c r="BH10" s="107">
        <v>5.4800607000000001E-2</v>
      </c>
      <c r="BI10" s="107">
        <v>3.0790890000000001E-3</v>
      </c>
      <c r="BJ10" s="107">
        <v>2.980744E-3</v>
      </c>
      <c r="BK10" s="107">
        <v>3.713413E-3</v>
      </c>
      <c r="BL10" s="107">
        <v>3.3657320000000002E-3</v>
      </c>
      <c r="BM10" s="107">
        <v>1.839736E-3</v>
      </c>
      <c r="BN10" s="107">
        <v>1.839736E-3</v>
      </c>
      <c r="BO10" s="107">
        <v>3.5231920000000001E-3</v>
      </c>
      <c r="BP10" s="107">
        <v>1.0569577E-2</v>
      </c>
      <c r="BQ10" s="107">
        <v>1.05696E-2</v>
      </c>
      <c r="BR10" s="107">
        <v>1.05696E-2</v>
      </c>
      <c r="BS10" s="107">
        <v>1.0569577E-2</v>
      </c>
      <c r="BT10" s="107">
        <v>1.05696E-2</v>
      </c>
      <c r="BU10" s="107">
        <v>1.05696E-2</v>
      </c>
      <c r="BV10" s="107">
        <v>1.0569577E-2</v>
      </c>
      <c r="BW10" s="107">
        <v>1.0569577E-2</v>
      </c>
    </row>
    <row r="11" spans="1:75" x14ac:dyDescent="0.25">
      <c r="A11" s="107">
        <v>10</v>
      </c>
      <c r="B11" s="108">
        <v>0.06</v>
      </c>
      <c r="C11" s="108">
        <v>0.05</v>
      </c>
      <c r="D11" s="108">
        <v>0.06</v>
      </c>
      <c r="E11" s="108">
        <v>0.05</v>
      </c>
      <c r="F11" s="108">
        <v>0.04</v>
      </c>
      <c r="G11" s="108">
        <v>0.04</v>
      </c>
      <c r="H11" s="108">
        <v>81.459999999999994</v>
      </c>
      <c r="I11" s="108">
        <v>18.25</v>
      </c>
      <c r="J11" s="108">
        <v>0</v>
      </c>
      <c r="K11" s="108">
        <v>0</v>
      </c>
      <c r="L11" s="108">
        <v>5</v>
      </c>
      <c r="M11" s="108">
        <v>27.65</v>
      </c>
      <c r="N11" s="108">
        <v>18.13</v>
      </c>
      <c r="O11" s="108">
        <v>17.940000000000001</v>
      </c>
      <c r="P11" s="108">
        <v>29.7</v>
      </c>
      <c r="Q11" s="108">
        <v>27.32</v>
      </c>
      <c r="R11" s="108">
        <v>29.66</v>
      </c>
      <c r="S11" s="108">
        <v>30.15</v>
      </c>
      <c r="T11" s="108">
        <v>25.71</v>
      </c>
      <c r="U11" s="108">
        <v>0.02</v>
      </c>
      <c r="V11" s="108">
        <v>0.22</v>
      </c>
      <c r="W11" s="108">
        <v>0.15</v>
      </c>
      <c r="X11" s="108">
        <v>0.08</v>
      </c>
      <c r="Y11" s="108">
        <v>11.66</v>
      </c>
      <c r="Z11" s="108">
        <v>12.84</v>
      </c>
      <c r="AA11" s="108">
        <v>10.06</v>
      </c>
      <c r="AB11" s="108">
        <v>27.65</v>
      </c>
      <c r="AC11" s="108">
        <v>18.13</v>
      </c>
      <c r="AD11" s="108">
        <v>17.940000000000001</v>
      </c>
      <c r="AE11" s="107">
        <v>3.8827463999999999E-2</v>
      </c>
      <c r="AF11" s="107">
        <v>4.0439358000000002E-2</v>
      </c>
      <c r="AG11" s="107">
        <v>4.8610016999999998E-2</v>
      </c>
      <c r="AH11" s="107">
        <v>4.2988643E-2</v>
      </c>
      <c r="AI11" s="107">
        <v>1.9295282E-2</v>
      </c>
      <c r="AJ11" s="107">
        <v>1.9295282E-2</v>
      </c>
      <c r="AK11" s="107">
        <v>16.83415518</v>
      </c>
      <c r="AL11" s="107">
        <v>23.465022940000001</v>
      </c>
      <c r="AM11" s="107">
        <v>23.465022999999999</v>
      </c>
      <c r="AN11" s="107">
        <v>23.465022999999999</v>
      </c>
      <c r="AO11" s="107">
        <v>19.946538570000001</v>
      </c>
      <c r="AP11" s="107">
        <v>19.946539000000001</v>
      </c>
      <c r="AQ11" s="107">
        <v>19.946539000000001</v>
      </c>
      <c r="AR11" s="107">
        <v>23.578878769999999</v>
      </c>
      <c r="AS11" s="107">
        <v>23.172001529999999</v>
      </c>
      <c r="AT11" s="109">
        <v>3.6900000000000002E-5</v>
      </c>
      <c r="AU11" s="109">
        <v>3.9700000000000003E-5</v>
      </c>
      <c r="AV11" s="109">
        <v>4.5300000000000003E-5</v>
      </c>
      <c r="AW11" s="109">
        <v>4.0299999999999997E-5</v>
      </c>
      <c r="AX11" s="109">
        <v>1.5800000000000001E-5</v>
      </c>
      <c r="AY11" s="109">
        <v>1.5800000000000001E-5</v>
      </c>
      <c r="AZ11" s="107">
        <v>9.2933470000000004E-3</v>
      </c>
      <c r="BA11" s="107">
        <v>5.5760082000000002E-2</v>
      </c>
      <c r="BB11" s="107">
        <v>5.57601E-2</v>
      </c>
      <c r="BC11" s="107">
        <v>5.57601E-2</v>
      </c>
      <c r="BD11" s="107">
        <v>5.5760082000000002E-2</v>
      </c>
      <c r="BE11" s="107">
        <v>5.57601E-2</v>
      </c>
      <c r="BF11" s="107">
        <v>5.57601E-2</v>
      </c>
      <c r="BG11" s="107">
        <v>5.5760082000000002E-2</v>
      </c>
      <c r="BH11" s="107">
        <v>5.5760082000000002E-2</v>
      </c>
      <c r="BI11" s="107">
        <v>2.6642469999999998E-3</v>
      </c>
      <c r="BJ11" s="107">
        <v>2.5946820000000001E-3</v>
      </c>
      <c r="BK11" s="107">
        <v>3.3312659999999998E-3</v>
      </c>
      <c r="BL11" s="107">
        <v>2.9385539999999999E-3</v>
      </c>
      <c r="BM11" s="107">
        <v>1.3958079999999999E-3</v>
      </c>
      <c r="BN11" s="107">
        <v>1.3958079999999999E-3</v>
      </c>
      <c r="BO11" s="107">
        <v>3.6357709999999999E-3</v>
      </c>
      <c r="BP11" s="107">
        <v>1.0907312000000001E-2</v>
      </c>
      <c r="BQ11" s="107">
        <v>1.09073E-2</v>
      </c>
      <c r="BR11" s="107">
        <v>1.09073E-2</v>
      </c>
      <c r="BS11" s="107">
        <v>1.0907312000000001E-2</v>
      </c>
      <c r="BT11" s="107">
        <v>1.09073E-2</v>
      </c>
      <c r="BU11" s="107">
        <v>1.09073E-2</v>
      </c>
      <c r="BV11" s="107">
        <v>1.0907312000000001E-2</v>
      </c>
      <c r="BW11" s="107">
        <v>1.0907312000000001E-2</v>
      </c>
    </row>
    <row r="12" spans="1:75" x14ac:dyDescent="0.25">
      <c r="A12" s="107">
        <v>11</v>
      </c>
      <c r="B12" s="108">
        <v>0.06</v>
      </c>
      <c r="C12" s="108">
        <v>0.05</v>
      </c>
      <c r="D12" s="108">
        <v>0.06</v>
      </c>
      <c r="E12" s="108">
        <v>0.05</v>
      </c>
      <c r="F12" s="108">
        <v>0.04</v>
      </c>
      <c r="G12" s="108">
        <v>0.04</v>
      </c>
      <c r="H12" s="108">
        <v>85.29</v>
      </c>
      <c r="I12" s="108">
        <v>18.25</v>
      </c>
      <c r="J12" s="108">
        <v>0</v>
      </c>
      <c r="K12" s="108">
        <v>0</v>
      </c>
      <c r="L12" s="108">
        <v>5</v>
      </c>
      <c r="M12" s="108">
        <v>27.69</v>
      </c>
      <c r="N12" s="108">
        <v>18.21</v>
      </c>
      <c r="O12" s="108">
        <v>18.03</v>
      </c>
      <c r="P12" s="108">
        <v>30.1</v>
      </c>
      <c r="Q12" s="108">
        <v>27.43</v>
      </c>
      <c r="R12" s="108">
        <v>29.84</v>
      </c>
      <c r="S12" s="108">
        <v>30.25</v>
      </c>
      <c r="T12" s="108">
        <v>25.73</v>
      </c>
      <c r="U12" s="108">
        <v>0.02</v>
      </c>
      <c r="V12" s="108">
        <v>0.21</v>
      </c>
      <c r="W12" s="108">
        <v>0.14000000000000001</v>
      </c>
      <c r="X12" s="108">
        <v>0.08</v>
      </c>
      <c r="Y12" s="108">
        <v>11.71</v>
      </c>
      <c r="Z12" s="108">
        <v>12.83</v>
      </c>
      <c r="AA12" s="108">
        <v>10.02</v>
      </c>
      <c r="AB12" s="108">
        <v>27.69</v>
      </c>
      <c r="AC12" s="108">
        <v>18.21</v>
      </c>
      <c r="AD12" s="108">
        <v>18.03</v>
      </c>
      <c r="AE12" s="107">
        <v>3.7995779E-2</v>
      </c>
      <c r="AF12" s="107">
        <v>3.8956439000000002E-2</v>
      </c>
      <c r="AG12" s="107">
        <v>4.5610629E-2</v>
      </c>
      <c r="AH12" s="107">
        <v>4.0649780000000003E-2</v>
      </c>
      <c r="AI12" s="107">
        <v>1.9013858000000002E-2</v>
      </c>
      <c r="AJ12" s="107">
        <v>1.9013858000000002E-2</v>
      </c>
      <c r="AK12" s="107">
        <v>17.10567382</v>
      </c>
      <c r="AL12" s="107">
        <v>23.843491060000002</v>
      </c>
      <c r="AM12" s="107">
        <v>23.843491</v>
      </c>
      <c r="AN12" s="107">
        <v>23.843491</v>
      </c>
      <c r="AO12" s="107">
        <v>20.26825693</v>
      </c>
      <c r="AP12" s="107">
        <v>20.268256999999998</v>
      </c>
      <c r="AQ12" s="107">
        <v>20.268256999999998</v>
      </c>
      <c r="AR12" s="107">
        <v>23.95918326</v>
      </c>
      <c r="AS12" s="107">
        <v>23.54574349</v>
      </c>
      <c r="AT12" s="109">
        <v>3.4799999999999999E-5</v>
      </c>
      <c r="AU12" s="109">
        <v>3.6900000000000002E-5</v>
      </c>
      <c r="AV12" s="109">
        <v>4.1300000000000001E-5</v>
      </c>
      <c r="AW12" s="109">
        <v>3.6900000000000002E-5</v>
      </c>
      <c r="AX12" s="109">
        <v>1.5E-5</v>
      </c>
      <c r="AY12" s="109">
        <v>1.5E-5</v>
      </c>
      <c r="AZ12" s="107">
        <v>9.4532590000000003E-3</v>
      </c>
      <c r="BA12" s="107">
        <v>5.6719556999999997E-2</v>
      </c>
      <c r="BB12" s="107">
        <v>5.6719600000000002E-2</v>
      </c>
      <c r="BC12" s="107">
        <v>5.6719600000000002E-2</v>
      </c>
      <c r="BD12" s="107">
        <v>5.6719556999999997E-2</v>
      </c>
      <c r="BE12" s="107">
        <v>5.6719600000000002E-2</v>
      </c>
      <c r="BF12" s="107">
        <v>5.6719600000000002E-2</v>
      </c>
      <c r="BG12" s="107">
        <v>5.6719556999999997E-2</v>
      </c>
      <c r="BH12" s="107">
        <v>5.6719556999999997E-2</v>
      </c>
      <c r="BI12" s="107">
        <v>2.6842709999999998E-3</v>
      </c>
      <c r="BJ12" s="107">
        <v>2.5765480000000001E-3</v>
      </c>
      <c r="BK12" s="107">
        <v>3.2049650000000002E-3</v>
      </c>
      <c r="BL12" s="107">
        <v>2.8520189999999999E-3</v>
      </c>
      <c r="BM12" s="107">
        <v>1.4110749999999999E-3</v>
      </c>
      <c r="BN12" s="107">
        <v>1.4110749999999999E-3</v>
      </c>
      <c r="BO12" s="107">
        <v>3.7470699999999999E-3</v>
      </c>
      <c r="BP12" s="107">
        <v>1.1241209E-2</v>
      </c>
      <c r="BQ12" s="107">
        <v>1.12412E-2</v>
      </c>
      <c r="BR12" s="107">
        <v>1.12412E-2</v>
      </c>
      <c r="BS12" s="107">
        <v>1.1241209E-2</v>
      </c>
      <c r="BT12" s="107">
        <v>1.12412E-2</v>
      </c>
      <c r="BU12" s="107">
        <v>1.12412E-2</v>
      </c>
      <c r="BV12" s="107">
        <v>1.1241209E-2</v>
      </c>
      <c r="BW12" s="107">
        <v>1.1241209E-2</v>
      </c>
    </row>
    <row r="13" spans="1:75" x14ac:dyDescent="0.25">
      <c r="A13" s="107">
        <v>12</v>
      </c>
      <c r="B13" s="108">
        <v>0.06</v>
      </c>
      <c r="C13" s="108">
        <v>0.05</v>
      </c>
      <c r="D13" s="108">
        <v>0.06</v>
      </c>
      <c r="E13" s="108">
        <v>0.05</v>
      </c>
      <c r="F13" s="108">
        <v>0.04</v>
      </c>
      <c r="G13" s="108">
        <v>0.04</v>
      </c>
      <c r="H13" s="108">
        <v>87.17</v>
      </c>
      <c r="I13" s="108">
        <v>18.239999999999998</v>
      </c>
      <c r="J13" s="108">
        <v>0</v>
      </c>
      <c r="K13" s="108">
        <v>0</v>
      </c>
      <c r="L13" s="108">
        <v>4.99</v>
      </c>
      <c r="M13" s="108">
        <v>27.91</v>
      </c>
      <c r="N13" s="108">
        <v>18.38</v>
      </c>
      <c r="O13" s="108">
        <v>18.21</v>
      </c>
      <c r="P13" s="108">
        <v>30.32</v>
      </c>
      <c r="Q13" s="108">
        <v>27.46</v>
      </c>
      <c r="R13" s="108">
        <v>29.89</v>
      </c>
      <c r="S13" s="108">
        <v>30.47</v>
      </c>
      <c r="T13" s="108">
        <v>25.65</v>
      </c>
      <c r="U13" s="108">
        <v>0.02</v>
      </c>
      <c r="V13" s="108">
        <v>0.22</v>
      </c>
      <c r="W13" s="108">
        <v>0.14000000000000001</v>
      </c>
      <c r="X13" s="108">
        <v>0.08</v>
      </c>
      <c r="Y13" s="108">
        <v>11.68</v>
      </c>
      <c r="Z13" s="108">
        <v>12.75</v>
      </c>
      <c r="AA13" s="108">
        <v>9.8699999999999992</v>
      </c>
      <c r="AB13" s="108">
        <v>27.91</v>
      </c>
      <c r="AC13" s="108">
        <v>18.38</v>
      </c>
      <c r="AD13" s="108">
        <v>18.21</v>
      </c>
      <c r="AE13" s="107">
        <v>3.7117811000000001E-2</v>
      </c>
      <c r="AF13" s="107">
        <v>3.7405737000000001E-2</v>
      </c>
      <c r="AG13" s="107">
        <v>4.2491133E-2</v>
      </c>
      <c r="AH13" s="107">
        <v>3.8214655E-2</v>
      </c>
      <c r="AI13" s="107">
        <v>1.871362E-2</v>
      </c>
      <c r="AJ13" s="107">
        <v>1.871362E-2</v>
      </c>
      <c r="AK13" s="107">
        <v>17.377192449999999</v>
      </c>
      <c r="AL13" s="107">
        <v>24.221959170000002</v>
      </c>
      <c r="AM13" s="107">
        <v>24.221958999999998</v>
      </c>
      <c r="AN13" s="107">
        <v>24.221958999999998</v>
      </c>
      <c r="AO13" s="107">
        <v>20.589975299999999</v>
      </c>
      <c r="AP13" s="107">
        <v>20.589974999999999</v>
      </c>
      <c r="AQ13" s="107">
        <v>20.589974999999999</v>
      </c>
      <c r="AR13" s="107">
        <v>24.339487760000001</v>
      </c>
      <c r="AS13" s="107">
        <v>23.91948545</v>
      </c>
      <c r="AT13" s="109">
        <v>3.2499999999999997E-5</v>
      </c>
      <c r="AU13" s="109">
        <v>3.4E-5</v>
      </c>
      <c r="AV13" s="109">
        <v>3.7200000000000003E-5</v>
      </c>
      <c r="AW13" s="109">
        <v>3.3500000000000001E-5</v>
      </c>
      <c r="AX13" s="109">
        <v>1.4100000000000001E-5</v>
      </c>
      <c r="AY13" s="109">
        <v>1.4100000000000001E-5</v>
      </c>
      <c r="AZ13" s="107">
        <v>9.6131719999999997E-3</v>
      </c>
      <c r="BA13" s="107">
        <v>5.7679031999999998E-2</v>
      </c>
      <c r="BB13" s="107">
        <v>5.7679000000000001E-2</v>
      </c>
      <c r="BC13" s="107">
        <v>5.7679000000000001E-2</v>
      </c>
      <c r="BD13" s="107">
        <v>5.7679031999999998E-2</v>
      </c>
      <c r="BE13" s="107">
        <v>5.7679000000000001E-2</v>
      </c>
      <c r="BF13" s="107">
        <v>5.7679000000000001E-2</v>
      </c>
      <c r="BG13" s="107">
        <v>5.7679031999999998E-2</v>
      </c>
      <c r="BH13" s="107">
        <v>5.7679031999999998E-2</v>
      </c>
      <c r="BI13" s="107">
        <v>2.7015350000000001E-3</v>
      </c>
      <c r="BJ13" s="107">
        <v>2.553465E-3</v>
      </c>
      <c r="BK13" s="107">
        <v>3.066119E-3</v>
      </c>
      <c r="BL13" s="107">
        <v>2.755913E-3</v>
      </c>
      <c r="BM13" s="107">
        <v>1.425183E-3</v>
      </c>
      <c r="BN13" s="107">
        <v>1.425183E-3</v>
      </c>
      <c r="BO13" s="107">
        <v>3.8596479999999998E-3</v>
      </c>
      <c r="BP13" s="107">
        <v>1.1578944000000001E-2</v>
      </c>
      <c r="BQ13" s="107">
        <v>1.15789E-2</v>
      </c>
      <c r="BR13" s="107">
        <v>1.15789E-2</v>
      </c>
      <c r="BS13" s="107">
        <v>1.1578944000000001E-2</v>
      </c>
      <c r="BT13" s="107">
        <v>1.15789E-2</v>
      </c>
      <c r="BU13" s="107">
        <v>1.15789E-2</v>
      </c>
      <c r="BV13" s="107">
        <v>1.1578944000000001E-2</v>
      </c>
      <c r="BW13" s="107">
        <v>1.1578944000000001E-2</v>
      </c>
    </row>
    <row r="14" spans="1:75" x14ac:dyDescent="0.25">
      <c r="A14" s="107">
        <v>13</v>
      </c>
      <c r="B14" s="108">
        <v>0.06</v>
      </c>
      <c r="C14" s="108">
        <v>0.05</v>
      </c>
      <c r="D14" s="108">
        <v>0.06</v>
      </c>
      <c r="E14" s="108">
        <v>0.05</v>
      </c>
      <c r="F14" s="108">
        <v>0.04</v>
      </c>
      <c r="G14" s="108">
        <v>0.04</v>
      </c>
      <c r="H14" s="108">
        <v>86.81</v>
      </c>
      <c r="I14" s="108">
        <v>18.23</v>
      </c>
      <c r="J14" s="108">
        <v>0</v>
      </c>
      <c r="K14" s="108">
        <v>0</v>
      </c>
      <c r="L14" s="108">
        <v>4.99</v>
      </c>
      <c r="M14" s="108">
        <v>28.16</v>
      </c>
      <c r="N14" s="108">
        <v>18.489999999999998</v>
      </c>
      <c r="O14" s="108">
        <v>18.3</v>
      </c>
      <c r="P14" s="108">
        <v>30.4</v>
      </c>
      <c r="Q14" s="108">
        <v>27.4</v>
      </c>
      <c r="R14" s="108">
        <v>29.8</v>
      </c>
      <c r="S14" s="108">
        <v>30.55</v>
      </c>
      <c r="T14" s="108">
        <v>25.24</v>
      </c>
      <c r="U14" s="108">
        <v>0.02</v>
      </c>
      <c r="V14" s="108">
        <v>0.21</v>
      </c>
      <c r="W14" s="108">
        <v>0.14000000000000001</v>
      </c>
      <c r="X14" s="108">
        <v>0.08</v>
      </c>
      <c r="Y14" s="108">
        <v>11.61</v>
      </c>
      <c r="Z14" s="108">
        <v>12.63</v>
      </c>
      <c r="AA14" s="108">
        <v>9.65</v>
      </c>
      <c r="AB14" s="108">
        <v>28.16</v>
      </c>
      <c r="AC14" s="108">
        <v>18.489999999999998</v>
      </c>
      <c r="AD14" s="108">
        <v>18.3</v>
      </c>
      <c r="AE14" s="107">
        <v>3.6054353999999997E-2</v>
      </c>
      <c r="AF14" s="107">
        <v>3.5649607999999999E-2</v>
      </c>
      <c r="AG14" s="107">
        <v>3.9100559999999999E-2</v>
      </c>
      <c r="AH14" s="107">
        <v>3.5546025000000002E-2</v>
      </c>
      <c r="AI14" s="107">
        <v>1.8323819000000002E-2</v>
      </c>
      <c r="AJ14" s="107">
        <v>1.8323819000000002E-2</v>
      </c>
      <c r="AK14" s="107">
        <v>17.580831419999999</v>
      </c>
      <c r="AL14" s="107">
        <v>24.50581025</v>
      </c>
      <c r="AM14" s="107">
        <v>24.50581</v>
      </c>
      <c r="AN14" s="107">
        <v>24.50581</v>
      </c>
      <c r="AO14" s="107">
        <v>20.83126407</v>
      </c>
      <c r="AP14" s="107">
        <v>20.831264000000001</v>
      </c>
      <c r="AQ14" s="107">
        <v>20.831264000000001</v>
      </c>
      <c r="AR14" s="107">
        <v>24.624716129999999</v>
      </c>
      <c r="AS14" s="107">
        <v>24.199791919999999</v>
      </c>
      <c r="AT14" s="109">
        <v>3.01E-5</v>
      </c>
      <c r="AU14" s="109">
        <v>3.0899999999999999E-5</v>
      </c>
      <c r="AV14" s="109">
        <v>3.2799999999999998E-5</v>
      </c>
      <c r="AW14" s="109">
        <v>2.9799999999999999E-5</v>
      </c>
      <c r="AX14" s="109">
        <v>1.33E-5</v>
      </c>
      <c r="AY14" s="109">
        <v>1.33E-5</v>
      </c>
      <c r="AZ14" s="107">
        <v>9.7730839999999996E-3</v>
      </c>
      <c r="BA14" s="107">
        <v>5.8638506999999999E-2</v>
      </c>
      <c r="BB14" s="107">
        <v>5.8638500000000003E-2</v>
      </c>
      <c r="BC14" s="107">
        <v>5.8638500000000003E-2</v>
      </c>
      <c r="BD14" s="107">
        <v>5.8638506999999999E-2</v>
      </c>
      <c r="BE14" s="107">
        <v>5.8638500000000003E-2</v>
      </c>
      <c r="BF14" s="107">
        <v>5.8638500000000003E-2</v>
      </c>
      <c r="BG14" s="107">
        <v>5.8638506999999999E-2</v>
      </c>
      <c r="BH14" s="107">
        <v>5.8638506999999999E-2</v>
      </c>
      <c r="BI14" s="107">
        <v>2.7151020000000001E-3</v>
      </c>
      <c r="BJ14" s="107">
        <v>2.5245189999999998E-3</v>
      </c>
      <c r="BK14" s="107">
        <v>2.9135559999999999E-3</v>
      </c>
      <c r="BL14" s="107">
        <v>2.6492009999999999E-3</v>
      </c>
      <c r="BM14" s="107">
        <v>1.4376409999999999E-3</v>
      </c>
      <c r="BN14" s="107">
        <v>1.4376409999999999E-3</v>
      </c>
      <c r="BO14" s="107">
        <v>3.972227E-3</v>
      </c>
      <c r="BP14" s="107">
        <v>1.1916680000000001E-2</v>
      </c>
      <c r="BQ14" s="107">
        <v>1.1916700000000001E-2</v>
      </c>
      <c r="BR14" s="107">
        <v>1.1916700000000001E-2</v>
      </c>
      <c r="BS14" s="107">
        <v>1.1916680000000001E-2</v>
      </c>
      <c r="BT14" s="107">
        <v>1.1916700000000001E-2</v>
      </c>
      <c r="BU14" s="107">
        <v>1.1916700000000001E-2</v>
      </c>
      <c r="BV14" s="107">
        <v>1.1916680000000001E-2</v>
      </c>
      <c r="BW14" s="107">
        <v>1.1916680000000001E-2</v>
      </c>
    </row>
    <row r="15" spans="1:75" x14ac:dyDescent="0.25">
      <c r="A15" s="107">
        <v>14</v>
      </c>
      <c r="B15" s="108">
        <v>0.06</v>
      </c>
      <c r="C15" s="108">
        <v>0.05</v>
      </c>
      <c r="D15" s="108">
        <v>0.06</v>
      </c>
      <c r="E15" s="108">
        <v>0.05</v>
      </c>
      <c r="F15" s="108">
        <v>0.04</v>
      </c>
      <c r="G15" s="108">
        <v>0.04</v>
      </c>
      <c r="H15" s="108">
        <v>86.43</v>
      </c>
      <c r="I15" s="108">
        <v>18.22</v>
      </c>
      <c r="J15" s="108">
        <v>0</v>
      </c>
      <c r="K15" s="108">
        <v>0</v>
      </c>
      <c r="L15" s="108">
        <v>4.99</v>
      </c>
      <c r="M15" s="108">
        <v>28.3</v>
      </c>
      <c r="N15" s="108">
        <v>18.61</v>
      </c>
      <c r="O15" s="108">
        <v>18.43</v>
      </c>
      <c r="P15" s="108">
        <v>30.43</v>
      </c>
      <c r="Q15" s="108">
        <v>27.37</v>
      </c>
      <c r="R15" s="108">
        <v>29.75</v>
      </c>
      <c r="S15" s="108">
        <v>30.72</v>
      </c>
      <c r="T15" s="108">
        <v>25.18</v>
      </c>
      <c r="U15" s="108">
        <v>0.02</v>
      </c>
      <c r="V15" s="108">
        <v>0.21</v>
      </c>
      <c r="W15" s="108">
        <v>0.14000000000000001</v>
      </c>
      <c r="X15" s="108">
        <v>0.08</v>
      </c>
      <c r="Y15" s="108">
        <v>11.58</v>
      </c>
      <c r="Z15" s="108">
        <v>12.55</v>
      </c>
      <c r="AA15" s="108">
        <v>9.52</v>
      </c>
      <c r="AB15" s="108">
        <v>28.3</v>
      </c>
      <c r="AC15" s="108">
        <v>18.61</v>
      </c>
      <c r="AD15" s="108">
        <v>18.43</v>
      </c>
      <c r="AE15" s="107">
        <v>3.5089604000000003E-2</v>
      </c>
      <c r="AF15" s="107">
        <v>3.3971812999999997E-2</v>
      </c>
      <c r="AG15" s="107">
        <v>3.575586E-2</v>
      </c>
      <c r="AH15" s="107">
        <v>3.2930411E-2</v>
      </c>
      <c r="AI15" s="107">
        <v>1.7988305E-2</v>
      </c>
      <c r="AJ15" s="107">
        <v>1.7988305E-2</v>
      </c>
      <c r="AK15" s="107">
        <v>17.852350049999998</v>
      </c>
      <c r="AL15" s="107">
        <v>24.88427836</v>
      </c>
      <c r="AM15" s="107">
        <v>24.884277999999998</v>
      </c>
      <c r="AN15" s="107">
        <v>24.884277999999998</v>
      </c>
      <c r="AO15" s="107">
        <v>21.152982430000002</v>
      </c>
      <c r="AP15" s="107">
        <v>21.152982000000002</v>
      </c>
      <c r="AQ15" s="107">
        <v>21.152982000000002</v>
      </c>
      <c r="AR15" s="107">
        <v>25.005020630000001</v>
      </c>
      <c r="AS15" s="107">
        <v>24.573533879999999</v>
      </c>
      <c r="AT15" s="109">
        <v>2.7699999999999999E-5</v>
      </c>
      <c r="AU15" s="109">
        <v>2.7699999999999999E-5</v>
      </c>
      <c r="AV15" s="109">
        <v>2.8399999999999999E-5</v>
      </c>
      <c r="AW15" s="109">
        <v>2.6100000000000001E-5</v>
      </c>
      <c r="AX15" s="109">
        <v>1.24E-5</v>
      </c>
      <c r="AY15" s="109">
        <v>1.24E-5</v>
      </c>
      <c r="AZ15" s="107">
        <v>9.9329970000000007E-3</v>
      </c>
      <c r="BA15" s="107">
        <v>5.9597982000000001E-2</v>
      </c>
      <c r="BB15" s="107">
        <v>5.9597999999999998E-2</v>
      </c>
      <c r="BC15" s="107">
        <v>5.9597999999999998E-2</v>
      </c>
      <c r="BD15" s="107">
        <v>5.9597982000000001E-2</v>
      </c>
      <c r="BE15" s="107">
        <v>5.9597999999999998E-2</v>
      </c>
      <c r="BF15" s="107">
        <v>5.9597999999999998E-2</v>
      </c>
      <c r="BG15" s="107">
        <v>5.9597982000000001E-2</v>
      </c>
      <c r="BH15" s="107">
        <v>5.9597982000000001E-2</v>
      </c>
      <c r="BI15" s="107">
        <v>2.7249710000000001E-3</v>
      </c>
      <c r="BJ15" s="107">
        <v>2.4897109999999999E-3</v>
      </c>
      <c r="BK15" s="107">
        <v>2.7472759999999999E-3</v>
      </c>
      <c r="BL15" s="107">
        <v>2.5318839999999999E-3</v>
      </c>
      <c r="BM15" s="107">
        <v>1.448448E-3</v>
      </c>
      <c r="BN15" s="107">
        <v>1.448448E-3</v>
      </c>
      <c r="BO15" s="107">
        <v>4.0848050000000004E-3</v>
      </c>
      <c r="BP15" s="107">
        <v>1.2254414999999999E-2</v>
      </c>
      <c r="BQ15" s="107">
        <v>1.22544E-2</v>
      </c>
      <c r="BR15" s="107">
        <v>1.22544E-2</v>
      </c>
      <c r="BS15" s="107">
        <v>1.2254414999999999E-2</v>
      </c>
      <c r="BT15" s="107">
        <v>1.22544E-2</v>
      </c>
      <c r="BU15" s="107">
        <v>1.22544E-2</v>
      </c>
      <c r="BV15" s="107">
        <v>1.2254414999999999E-2</v>
      </c>
      <c r="BW15" s="107">
        <v>1.2254414999999999E-2</v>
      </c>
    </row>
    <row r="16" spans="1:75" x14ac:dyDescent="0.25">
      <c r="A16" s="107">
        <v>15</v>
      </c>
      <c r="B16" s="108">
        <v>7.0000000000000007E-2</v>
      </c>
      <c r="C16" s="108">
        <v>0.05</v>
      </c>
      <c r="D16" s="108">
        <v>7.0000000000000007E-2</v>
      </c>
      <c r="E16" s="108">
        <v>0.05</v>
      </c>
      <c r="F16" s="108">
        <v>0.04</v>
      </c>
      <c r="G16" s="108">
        <v>0.04</v>
      </c>
      <c r="H16" s="108">
        <v>86.07</v>
      </c>
      <c r="I16" s="108">
        <v>18.22</v>
      </c>
      <c r="J16" s="108">
        <v>0</v>
      </c>
      <c r="K16" s="108">
        <v>0</v>
      </c>
      <c r="L16" s="108">
        <v>4.99</v>
      </c>
      <c r="M16" s="108">
        <v>28.56</v>
      </c>
      <c r="N16" s="108">
        <v>18.82</v>
      </c>
      <c r="O16" s="108">
        <v>18.64</v>
      </c>
      <c r="P16" s="108">
        <v>30.52</v>
      </c>
      <c r="Q16" s="108">
        <v>27.48</v>
      </c>
      <c r="R16" s="108">
        <v>29.93</v>
      </c>
      <c r="S16" s="108">
        <v>30.96</v>
      </c>
      <c r="T16" s="108">
        <v>25.17</v>
      </c>
      <c r="U16" s="108">
        <v>0.02</v>
      </c>
      <c r="V16" s="108">
        <v>0.24</v>
      </c>
      <c r="W16" s="108">
        <v>0.16</v>
      </c>
      <c r="X16" s="108">
        <v>0.09</v>
      </c>
      <c r="Y16" s="108">
        <v>11.61</v>
      </c>
      <c r="Z16" s="108">
        <v>12.54</v>
      </c>
      <c r="AA16" s="108">
        <v>9.5</v>
      </c>
      <c r="AB16" s="108">
        <v>28.56</v>
      </c>
      <c r="AC16" s="108">
        <v>18.82</v>
      </c>
      <c r="AD16" s="108">
        <v>18.64</v>
      </c>
      <c r="AE16" s="107">
        <v>3.4078570000000002E-2</v>
      </c>
      <c r="AF16" s="107">
        <v>3.2226233999999999E-2</v>
      </c>
      <c r="AG16" s="107">
        <v>3.2291051000000001E-2</v>
      </c>
      <c r="AH16" s="107">
        <v>3.0218535000000001E-2</v>
      </c>
      <c r="AI16" s="107">
        <v>1.7633975999999999E-2</v>
      </c>
      <c r="AJ16" s="107">
        <v>1.7633975999999999E-2</v>
      </c>
      <c r="AK16" s="107">
        <v>18.123868689999998</v>
      </c>
      <c r="AL16" s="107">
        <v>25.262746480000001</v>
      </c>
      <c r="AM16" s="107">
        <v>25.262746</v>
      </c>
      <c r="AN16" s="107">
        <v>25.262746</v>
      </c>
      <c r="AO16" s="107">
        <v>21.474700800000001</v>
      </c>
      <c r="AP16" s="107">
        <v>21.474701</v>
      </c>
      <c r="AQ16" s="107">
        <v>21.474701</v>
      </c>
      <c r="AR16" s="107">
        <v>25.385325129999998</v>
      </c>
      <c r="AS16" s="107">
        <v>24.94727584</v>
      </c>
      <c r="AT16" s="109">
        <v>2.51E-5</v>
      </c>
      <c r="AU16" s="109">
        <v>2.44E-5</v>
      </c>
      <c r="AV16" s="109">
        <v>2.37E-5</v>
      </c>
      <c r="AW16" s="109">
        <v>2.2200000000000001E-5</v>
      </c>
      <c r="AX16" s="109">
        <v>1.1399999999999999E-5</v>
      </c>
      <c r="AY16" s="109">
        <v>1.1399999999999999E-5</v>
      </c>
      <c r="AZ16" s="107">
        <v>1.0092909000000001E-2</v>
      </c>
      <c r="BA16" s="107">
        <v>6.0557457000000002E-2</v>
      </c>
      <c r="BB16" s="107">
        <v>6.05575E-2</v>
      </c>
      <c r="BC16" s="107">
        <v>6.05575E-2</v>
      </c>
      <c r="BD16" s="107">
        <v>6.0557457000000002E-2</v>
      </c>
      <c r="BE16" s="107">
        <v>6.05575E-2</v>
      </c>
      <c r="BF16" s="107">
        <v>6.05575E-2</v>
      </c>
      <c r="BG16" s="107">
        <v>6.0557457000000002E-2</v>
      </c>
      <c r="BH16" s="107">
        <v>6.0557457000000002E-2</v>
      </c>
      <c r="BI16" s="107">
        <v>2.730311E-3</v>
      </c>
      <c r="BJ16" s="107">
        <v>2.4482940000000002E-3</v>
      </c>
      <c r="BK16" s="107">
        <v>2.566497E-3</v>
      </c>
      <c r="BL16" s="107">
        <v>2.4032300000000001E-3</v>
      </c>
      <c r="BM16" s="107">
        <v>1.4571619999999999E-3</v>
      </c>
      <c r="BN16" s="107">
        <v>1.4571619999999999E-3</v>
      </c>
      <c r="BO16" s="107">
        <v>4.196104E-3</v>
      </c>
      <c r="BP16" s="107">
        <v>1.2588312000000001E-2</v>
      </c>
      <c r="BQ16" s="107">
        <v>1.25883E-2</v>
      </c>
      <c r="BR16" s="107">
        <v>1.25883E-2</v>
      </c>
      <c r="BS16" s="107">
        <v>1.2588312000000001E-2</v>
      </c>
      <c r="BT16" s="107">
        <v>1.25883E-2</v>
      </c>
      <c r="BU16" s="107">
        <v>1.25883E-2</v>
      </c>
      <c r="BV16" s="107">
        <v>1.2588312000000001E-2</v>
      </c>
      <c r="BW16" s="107">
        <v>1.2588312000000001E-2</v>
      </c>
    </row>
    <row r="17" spans="1:75" x14ac:dyDescent="0.25">
      <c r="A17" s="107">
        <v>16</v>
      </c>
      <c r="B17" s="108">
        <v>7.0000000000000007E-2</v>
      </c>
      <c r="C17" s="108">
        <v>0.05</v>
      </c>
      <c r="D17" s="108">
        <v>7.0000000000000007E-2</v>
      </c>
      <c r="E17" s="108">
        <v>0.05</v>
      </c>
      <c r="F17" s="108">
        <v>0.05</v>
      </c>
      <c r="G17" s="108">
        <v>0.05</v>
      </c>
      <c r="H17" s="108">
        <v>85.73</v>
      </c>
      <c r="I17" s="108">
        <v>18.22</v>
      </c>
      <c r="J17" s="108">
        <v>0</v>
      </c>
      <c r="K17" s="108">
        <v>0</v>
      </c>
      <c r="L17" s="108">
        <v>4.9400000000000004</v>
      </c>
      <c r="M17" s="108">
        <v>28.96</v>
      </c>
      <c r="N17" s="108">
        <v>19.05</v>
      </c>
      <c r="O17" s="108">
        <v>18.87</v>
      </c>
      <c r="P17" s="108">
        <v>30.69</v>
      </c>
      <c r="Q17" s="108">
        <v>27.7</v>
      </c>
      <c r="R17" s="108">
        <v>30.27</v>
      </c>
      <c r="S17" s="108">
        <v>31.2</v>
      </c>
      <c r="T17" s="108">
        <v>24.68</v>
      </c>
      <c r="U17" s="108">
        <v>0.02</v>
      </c>
      <c r="V17" s="108">
        <v>0.24</v>
      </c>
      <c r="W17" s="108">
        <v>0.16</v>
      </c>
      <c r="X17" s="108">
        <v>0.09</v>
      </c>
      <c r="Y17" s="108">
        <v>11.76</v>
      </c>
      <c r="Z17" s="108">
        <v>12.66</v>
      </c>
      <c r="AA17" s="108">
        <v>9.6300000000000008</v>
      </c>
      <c r="AB17" s="108">
        <v>28.96</v>
      </c>
      <c r="AC17" s="108">
        <v>19.05</v>
      </c>
      <c r="AD17" s="108">
        <v>18.87</v>
      </c>
      <c r="AE17" s="107">
        <v>3.3309866E-2</v>
      </c>
      <c r="AF17" s="107">
        <v>3.1288580000000003E-2</v>
      </c>
      <c r="AG17" s="107">
        <v>3.2424317000000001E-2</v>
      </c>
      <c r="AH17" s="107">
        <v>3.0141569999999999E-2</v>
      </c>
      <c r="AI17" s="107">
        <v>1.6932717999999999E-2</v>
      </c>
      <c r="AJ17" s="107">
        <v>1.6932717999999999E-2</v>
      </c>
      <c r="AK17" s="107">
        <v>18.395387320000001</v>
      </c>
      <c r="AL17" s="107">
        <v>25.641214590000001</v>
      </c>
      <c r="AM17" s="107">
        <v>25.641214999999999</v>
      </c>
      <c r="AN17" s="107">
        <v>25.641214999999999</v>
      </c>
      <c r="AO17" s="107">
        <v>21.796419159999999</v>
      </c>
      <c r="AP17" s="107">
        <v>21.796419</v>
      </c>
      <c r="AQ17" s="107">
        <v>21.796419</v>
      </c>
      <c r="AR17" s="107">
        <v>25.765629619999999</v>
      </c>
      <c r="AS17" s="107">
        <v>25.3210178</v>
      </c>
      <c r="AT17" s="109">
        <v>2.44E-5</v>
      </c>
      <c r="AU17" s="109">
        <v>2.3600000000000001E-5</v>
      </c>
      <c r="AV17" s="109">
        <v>2.41E-5</v>
      </c>
      <c r="AW17" s="109">
        <v>2.2200000000000001E-5</v>
      </c>
      <c r="AX17" s="109">
        <v>1.1E-5</v>
      </c>
      <c r="AY17" s="109">
        <v>1.1E-5</v>
      </c>
      <c r="AZ17" s="107">
        <v>1.0273291E-2</v>
      </c>
      <c r="BA17" s="107">
        <v>6.1639744000000003E-2</v>
      </c>
      <c r="BB17" s="107">
        <v>6.1639699999999999E-2</v>
      </c>
      <c r="BC17" s="107">
        <v>6.1639699999999999E-2</v>
      </c>
      <c r="BD17" s="107">
        <v>6.1639744000000003E-2</v>
      </c>
      <c r="BE17" s="107">
        <v>6.1639699999999999E-2</v>
      </c>
      <c r="BF17" s="107">
        <v>6.1639699999999999E-2</v>
      </c>
      <c r="BG17" s="107">
        <v>6.1639744000000003E-2</v>
      </c>
      <c r="BH17" s="107">
        <v>6.1639744000000003E-2</v>
      </c>
      <c r="BI17" s="107">
        <v>2.7120450000000002E-3</v>
      </c>
      <c r="BJ17" s="107">
        <v>2.4166790000000001E-3</v>
      </c>
      <c r="BK17" s="107">
        <v>2.6069969999999998E-3</v>
      </c>
      <c r="BL17" s="107">
        <v>2.4304579999999999E-3</v>
      </c>
      <c r="BM17" s="107">
        <v>1.4182590000000001E-3</v>
      </c>
      <c r="BN17" s="107">
        <v>1.4182590000000001E-3</v>
      </c>
      <c r="BO17" s="107">
        <v>4.3176380000000004E-3</v>
      </c>
      <c r="BP17" s="107">
        <v>1.2952913E-2</v>
      </c>
      <c r="BQ17" s="107">
        <v>1.29529E-2</v>
      </c>
      <c r="BR17" s="107">
        <v>1.29529E-2</v>
      </c>
      <c r="BS17" s="107">
        <v>1.2952913E-2</v>
      </c>
      <c r="BT17" s="107">
        <v>1.29529E-2</v>
      </c>
      <c r="BU17" s="107">
        <v>1.29529E-2</v>
      </c>
      <c r="BV17" s="107">
        <v>1.2952913E-2</v>
      </c>
      <c r="BW17" s="107">
        <v>1.2952913E-2</v>
      </c>
    </row>
    <row r="18" spans="1:75" x14ac:dyDescent="0.25">
      <c r="A18" s="107">
        <v>17</v>
      </c>
      <c r="B18" s="108">
        <v>7.0000000000000007E-2</v>
      </c>
      <c r="C18" s="108">
        <v>0.06</v>
      </c>
      <c r="D18" s="108">
        <v>0.08</v>
      </c>
      <c r="E18" s="108">
        <v>0.05</v>
      </c>
      <c r="F18" s="108">
        <v>0.05</v>
      </c>
      <c r="G18" s="108">
        <v>0.05</v>
      </c>
      <c r="H18" s="108">
        <v>85.54</v>
      </c>
      <c r="I18" s="108">
        <v>18.21</v>
      </c>
      <c r="J18" s="108">
        <v>0</v>
      </c>
      <c r="K18" s="108">
        <v>0</v>
      </c>
      <c r="L18" s="108">
        <v>4.9400000000000004</v>
      </c>
      <c r="M18" s="108">
        <v>29.1</v>
      </c>
      <c r="N18" s="108">
        <v>19.16</v>
      </c>
      <c r="O18" s="108">
        <v>18.98</v>
      </c>
      <c r="P18" s="108">
        <v>30.85</v>
      </c>
      <c r="Q18" s="108">
        <v>27.85</v>
      </c>
      <c r="R18" s="108">
        <v>30.51</v>
      </c>
      <c r="S18" s="108">
        <v>31.31</v>
      </c>
      <c r="T18" s="108">
        <v>24.43</v>
      </c>
      <c r="U18" s="108">
        <v>0.02</v>
      </c>
      <c r="V18" s="108">
        <v>0.25</v>
      </c>
      <c r="W18" s="108">
        <v>0.17</v>
      </c>
      <c r="X18" s="108">
        <v>0.09</v>
      </c>
      <c r="Y18" s="108">
        <v>11.88</v>
      </c>
      <c r="Z18" s="108">
        <v>12.75</v>
      </c>
      <c r="AA18" s="108">
        <v>9.7100000000000009</v>
      </c>
      <c r="AB18" s="108">
        <v>29.1</v>
      </c>
      <c r="AC18" s="108">
        <v>19.16</v>
      </c>
      <c r="AD18" s="108">
        <v>18.98</v>
      </c>
      <c r="AE18" s="107">
        <v>3.2503398000000003E-2</v>
      </c>
      <c r="AF18" s="107">
        <v>3.0308993999999999E-2</v>
      </c>
      <c r="AG18" s="107">
        <v>3.2547236E-2</v>
      </c>
      <c r="AH18" s="107">
        <v>3.0048968999999998E-2</v>
      </c>
      <c r="AI18" s="107">
        <v>1.6202958999999999E-2</v>
      </c>
      <c r="AJ18" s="107">
        <v>1.6202958999999999E-2</v>
      </c>
      <c r="AK18" s="107">
        <v>18.66690595</v>
      </c>
      <c r="AL18" s="107">
        <v>26.019682700000001</v>
      </c>
      <c r="AM18" s="107">
        <v>26.019683000000001</v>
      </c>
      <c r="AN18" s="107">
        <v>26.019683000000001</v>
      </c>
      <c r="AO18" s="107">
        <v>22.118137529999998</v>
      </c>
      <c r="AP18" s="107">
        <v>22.118137999999998</v>
      </c>
      <c r="AQ18" s="107">
        <v>22.118137999999998</v>
      </c>
      <c r="AR18" s="107">
        <v>26.14593412</v>
      </c>
      <c r="AS18" s="107">
        <v>25.69475976</v>
      </c>
      <c r="AT18" s="109">
        <v>2.3600000000000001E-5</v>
      </c>
      <c r="AU18" s="109">
        <v>2.26E-5</v>
      </c>
      <c r="AV18" s="109">
        <v>2.44E-5</v>
      </c>
      <c r="AW18" s="109">
        <v>2.2200000000000001E-5</v>
      </c>
      <c r="AX18" s="109">
        <v>1.06E-5</v>
      </c>
      <c r="AY18" s="109">
        <v>1.06E-5</v>
      </c>
      <c r="AZ18" s="107">
        <v>1.0453672000000001E-2</v>
      </c>
      <c r="BA18" s="107">
        <v>6.2722031999999997E-2</v>
      </c>
      <c r="BB18" s="107">
        <v>6.2722E-2</v>
      </c>
      <c r="BC18" s="107">
        <v>6.2722E-2</v>
      </c>
      <c r="BD18" s="107">
        <v>6.2722031999999997E-2</v>
      </c>
      <c r="BE18" s="107">
        <v>6.2722E-2</v>
      </c>
      <c r="BF18" s="107">
        <v>6.2722E-2</v>
      </c>
      <c r="BG18" s="107">
        <v>6.2722031999999997E-2</v>
      </c>
      <c r="BH18" s="107">
        <v>6.2722031999999997E-2</v>
      </c>
      <c r="BI18" s="107">
        <v>2.6890740000000001E-3</v>
      </c>
      <c r="BJ18" s="107">
        <v>2.379978E-3</v>
      </c>
      <c r="BK18" s="107">
        <v>2.6463540000000001E-3</v>
      </c>
      <c r="BL18" s="107">
        <v>2.456008E-3</v>
      </c>
      <c r="BM18" s="107">
        <v>1.375186E-3</v>
      </c>
      <c r="BN18" s="107">
        <v>1.375186E-3</v>
      </c>
      <c r="BO18" s="107">
        <v>4.4404500000000003E-3</v>
      </c>
      <c r="BP18" s="107">
        <v>1.3321351E-2</v>
      </c>
      <c r="BQ18" s="107">
        <v>1.3321400000000001E-2</v>
      </c>
      <c r="BR18" s="107">
        <v>1.3321400000000001E-2</v>
      </c>
      <c r="BS18" s="107">
        <v>1.3321351E-2</v>
      </c>
      <c r="BT18" s="107">
        <v>1.3321400000000001E-2</v>
      </c>
      <c r="BU18" s="107">
        <v>1.3321400000000001E-2</v>
      </c>
      <c r="BV18" s="107">
        <v>1.3321351E-2</v>
      </c>
      <c r="BW18" s="107">
        <v>1.3321351E-2</v>
      </c>
    </row>
    <row r="19" spans="1:75" x14ac:dyDescent="0.25">
      <c r="A19" s="107">
        <v>18</v>
      </c>
      <c r="B19" s="108">
        <v>0.08</v>
      </c>
      <c r="C19" s="108">
        <v>0.06</v>
      </c>
      <c r="D19" s="108">
        <v>0.08</v>
      </c>
      <c r="E19" s="108">
        <v>0.06</v>
      </c>
      <c r="F19" s="108">
        <v>0.05</v>
      </c>
      <c r="G19" s="108">
        <v>0.05</v>
      </c>
      <c r="H19" s="108">
        <v>85.35</v>
      </c>
      <c r="I19" s="108">
        <v>18.2</v>
      </c>
      <c r="J19" s="108">
        <v>0</v>
      </c>
      <c r="K19" s="108">
        <v>0</v>
      </c>
      <c r="L19" s="108">
        <v>4.9400000000000004</v>
      </c>
      <c r="M19" s="108">
        <v>29.57</v>
      </c>
      <c r="N19" s="108">
        <v>19.46</v>
      </c>
      <c r="O19" s="108">
        <v>19.27</v>
      </c>
      <c r="P19" s="108">
        <v>31.21</v>
      </c>
      <c r="Q19" s="108">
        <v>28.31</v>
      </c>
      <c r="R19" s="108">
        <v>31.24</v>
      </c>
      <c r="S19" s="108">
        <v>31.71</v>
      </c>
      <c r="T19" s="108">
        <v>24.46</v>
      </c>
      <c r="U19" s="108">
        <v>0.02</v>
      </c>
      <c r="V19" s="108">
        <v>0.25</v>
      </c>
      <c r="W19" s="108">
        <v>0.17</v>
      </c>
      <c r="X19" s="108">
        <v>0.09</v>
      </c>
      <c r="Y19" s="108">
        <v>12.01</v>
      </c>
      <c r="Z19" s="108">
        <v>12.84</v>
      </c>
      <c r="AA19" s="108">
        <v>9.7799999999999994</v>
      </c>
      <c r="AB19" s="108">
        <v>29.57</v>
      </c>
      <c r="AC19" s="108">
        <v>19.46</v>
      </c>
      <c r="AD19" s="108">
        <v>19.27</v>
      </c>
      <c r="AE19" s="107">
        <v>3.1659166000000002E-2</v>
      </c>
      <c r="AF19" s="107">
        <v>2.9287476E-2</v>
      </c>
      <c r="AG19" s="107">
        <v>3.2659808999999998E-2</v>
      </c>
      <c r="AH19" s="107">
        <v>2.9940731000000002E-2</v>
      </c>
      <c r="AI19" s="107">
        <v>1.54447E-2</v>
      </c>
      <c r="AJ19" s="107">
        <v>1.54447E-2</v>
      </c>
      <c r="AK19" s="107">
        <v>18.93842458</v>
      </c>
      <c r="AL19" s="107">
        <v>26.398150810000001</v>
      </c>
      <c r="AM19" s="107">
        <v>26.398150999999999</v>
      </c>
      <c r="AN19" s="107">
        <v>26.398150999999999</v>
      </c>
      <c r="AO19" s="107">
        <v>22.43985589</v>
      </c>
      <c r="AP19" s="107">
        <v>22.439855999999999</v>
      </c>
      <c r="AQ19" s="107">
        <v>22.439855999999999</v>
      </c>
      <c r="AR19" s="107">
        <v>26.52623861</v>
      </c>
      <c r="AS19" s="107">
        <v>26.06850172</v>
      </c>
      <c r="AT19" s="109">
        <v>2.2799999999999999E-5</v>
      </c>
      <c r="AU19" s="109">
        <v>2.1699999999999999E-5</v>
      </c>
      <c r="AV19" s="109">
        <v>2.48E-5</v>
      </c>
      <c r="AW19" s="109">
        <v>2.2200000000000001E-5</v>
      </c>
      <c r="AX19" s="109">
        <v>1.01E-5</v>
      </c>
      <c r="AY19" s="109">
        <v>1.01E-5</v>
      </c>
      <c r="AZ19" s="107">
        <v>1.0645567E-2</v>
      </c>
      <c r="BA19" s="107">
        <v>6.3873401999999996E-2</v>
      </c>
      <c r="BB19" s="107">
        <v>6.3873399999999997E-2</v>
      </c>
      <c r="BC19" s="107">
        <v>6.3873399999999997E-2</v>
      </c>
      <c r="BD19" s="107">
        <v>6.3873401999999996E-2</v>
      </c>
      <c r="BE19" s="107">
        <v>6.3873399999999997E-2</v>
      </c>
      <c r="BF19" s="107">
        <v>6.3873399999999997E-2</v>
      </c>
      <c r="BG19" s="107">
        <v>6.3873401999999996E-2</v>
      </c>
      <c r="BH19" s="107">
        <v>6.3873401999999996E-2</v>
      </c>
      <c r="BI19" s="107">
        <v>2.6598199999999998E-3</v>
      </c>
      <c r="BJ19" s="107">
        <v>2.3367890000000001E-3</v>
      </c>
      <c r="BK19" s="107">
        <v>2.6830349999999998E-3</v>
      </c>
      <c r="BL19" s="107">
        <v>2.4784519999999999E-3</v>
      </c>
      <c r="BM19" s="107">
        <v>1.327127E-3</v>
      </c>
      <c r="BN19" s="107">
        <v>1.327127E-3</v>
      </c>
      <c r="BO19" s="107">
        <v>4.5619839999999998E-3</v>
      </c>
      <c r="BP19" s="107">
        <v>1.3685951E-2</v>
      </c>
      <c r="BQ19" s="107">
        <v>1.3686E-2</v>
      </c>
      <c r="BR19" s="107">
        <v>1.3686E-2</v>
      </c>
      <c r="BS19" s="107">
        <v>1.3685951E-2</v>
      </c>
      <c r="BT19" s="107">
        <v>1.3686E-2</v>
      </c>
      <c r="BU19" s="107">
        <v>1.3686E-2</v>
      </c>
      <c r="BV19" s="107">
        <v>1.3685951E-2</v>
      </c>
      <c r="BW19" s="107">
        <v>1.3685951E-2</v>
      </c>
    </row>
    <row r="20" spans="1:75" x14ac:dyDescent="0.25">
      <c r="A20" s="107">
        <v>19</v>
      </c>
      <c r="B20" s="108">
        <v>0.08</v>
      </c>
      <c r="C20" s="108">
        <v>0.06</v>
      </c>
      <c r="D20" s="108">
        <v>0.08</v>
      </c>
      <c r="E20" s="108">
        <v>0.06</v>
      </c>
      <c r="F20" s="108">
        <v>0.05</v>
      </c>
      <c r="G20" s="108">
        <v>0.05</v>
      </c>
      <c r="H20" s="108">
        <v>85.18</v>
      </c>
      <c r="I20" s="108">
        <v>18.2</v>
      </c>
      <c r="J20" s="108">
        <v>0</v>
      </c>
      <c r="K20" s="108">
        <v>0</v>
      </c>
      <c r="L20" s="108">
        <v>4.9400000000000004</v>
      </c>
      <c r="M20" s="108">
        <v>29.83</v>
      </c>
      <c r="N20" s="108">
        <v>19.649999999999999</v>
      </c>
      <c r="O20" s="108">
        <v>19.46</v>
      </c>
      <c r="P20" s="108">
        <v>31.5</v>
      </c>
      <c r="Q20" s="108">
        <v>28.54</v>
      </c>
      <c r="R20" s="108">
        <v>31.62</v>
      </c>
      <c r="S20" s="108">
        <v>31.97</v>
      </c>
      <c r="T20" s="108">
        <v>23.38</v>
      </c>
      <c r="U20" s="108">
        <v>0.02</v>
      </c>
      <c r="V20" s="108">
        <v>0.25</v>
      </c>
      <c r="W20" s="108">
        <v>0.17</v>
      </c>
      <c r="X20" s="108">
        <v>0.09</v>
      </c>
      <c r="Y20" s="108">
        <v>12.09</v>
      </c>
      <c r="Z20" s="108">
        <v>12.88</v>
      </c>
      <c r="AA20" s="108">
        <v>9.8000000000000007</v>
      </c>
      <c r="AB20" s="108">
        <v>29.83</v>
      </c>
      <c r="AC20" s="108">
        <v>19.649999999999999</v>
      </c>
      <c r="AD20" s="108">
        <v>19.46</v>
      </c>
      <c r="AE20" s="107">
        <v>3.077717E-2</v>
      </c>
      <c r="AF20" s="107">
        <v>2.8224025999999999E-2</v>
      </c>
      <c r="AG20" s="107">
        <v>3.2762034000000002E-2</v>
      </c>
      <c r="AH20" s="107">
        <v>2.9816858000000002E-2</v>
      </c>
      <c r="AI20" s="107">
        <v>1.4657942E-2</v>
      </c>
      <c r="AJ20" s="107">
        <v>1.4657942E-2</v>
      </c>
      <c r="AK20" s="107">
        <v>19.209943209999999</v>
      </c>
      <c r="AL20" s="107">
        <v>26.776618920000001</v>
      </c>
      <c r="AM20" s="107">
        <v>26.776619</v>
      </c>
      <c r="AN20" s="107">
        <v>26.776619</v>
      </c>
      <c r="AO20" s="107">
        <v>22.761574249999999</v>
      </c>
      <c r="AP20" s="107">
        <v>22.761574</v>
      </c>
      <c r="AQ20" s="107">
        <v>22.761574</v>
      </c>
      <c r="AR20" s="107">
        <v>26.906543110000001</v>
      </c>
      <c r="AS20" s="107">
        <v>26.442243680000001</v>
      </c>
      <c r="AT20" s="109">
        <v>2.19E-5</v>
      </c>
      <c r="AU20" s="109">
        <v>2.0599999999999999E-5</v>
      </c>
      <c r="AV20" s="109">
        <v>2.51E-5</v>
      </c>
      <c r="AW20" s="109">
        <v>2.2099999999999998E-5</v>
      </c>
      <c r="AX20" s="109">
        <v>9.6199999999999994E-6</v>
      </c>
      <c r="AY20" s="109">
        <v>9.6199999999999994E-6</v>
      </c>
      <c r="AZ20" s="107">
        <v>1.0814562999999999E-2</v>
      </c>
      <c r="BA20" s="107">
        <v>6.4887374999999997E-2</v>
      </c>
      <c r="BB20" s="107">
        <v>6.4887399999999998E-2</v>
      </c>
      <c r="BC20" s="107">
        <v>6.4887399999999998E-2</v>
      </c>
      <c r="BD20" s="107">
        <v>6.4887374999999997E-2</v>
      </c>
      <c r="BE20" s="107">
        <v>6.4887399999999998E-2</v>
      </c>
      <c r="BF20" s="107">
        <v>6.4887399999999998E-2</v>
      </c>
      <c r="BG20" s="107">
        <v>6.4887374999999997E-2</v>
      </c>
      <c r="BH20" s="107">
        <v>6.4887374999999997E-2</v>
      </c>
      <c r="BI20" s="107">
        <v>2.6250850000000001E-3</v>
      </c>
      <c r="BJ20" s="107">
        <v>2.2878289999999999E-3</v>
      </c>
      <c r="BK20" s="107">
        <v>2.7178110000000001E-3</v>
      </c>
      <c r="BL20" s="107">
        <v>2.4985099999999998E-3</v>
      </c>
      <c r="BM20" s="107">
        <v>1.274503E-3</v>
      </c>
      <c r="BN20" s="107">
        <v>1.274503E-3</v>
      </c>
      <c r="BO20" s="107">
        <v>4.6835169999999999E-3</v>
      </c>
      <c r="BP20" s="107">
        <v>1.4050551999999999E-2</v>
      </c>
      <c r="BQ20" s="107">
        <v>1.40506E-2</v>
      </c>
      <c r="BR20" s="107">
        <v>1.40506E-2</v>
      </c>
      <c r="BS20" s="107">
        <v>1.4050551999999999E-2</v>
      </c>
      <c r="BT20" s="107">
        <v>1.40506E-2</v>
      </c>
      <c r="BU20" s="107">
        <v>1.40506E-2</v>
      </c>
      <c r="BV20" s="107">
        <v>1.4050551999999999E-2</v>
      </c>
      <c r="BW20" s="107">
        <v>1.4050551999999999E-2</v>
      </c>
    </row>
    <row r="21" spans="1:75" x14ac:dyDescent="0.25">
      <c r="A21" s="107">
        <v>20</v>
      </c>
      <c r="B21" s="108">
        <v>0.08</v>
      </c>
      <c r="C21" s="108">
        <v>0.06</v>
      </c>
      <c r="D21" s="108">
        <v>0.08</v>
      </c>
      <c r="E21" s="108">
        <v>0.06</v>
      </c>
      <c r="F21" s="108">
        <v>0.05</v>
      </c>
      <c r="G21" s="108">
        <v>0.05</v>
      </c>
      <c r="H21" s="108">
        <v>85.03</v>
      </c>
      <c r="I21" s="108">
        <v>18.2</v>
      </c>
      <c r="J21" s="108">
        <v>0</v>
      </c>
      <c r="K21" s="108">
        <v>0</v>
      </c>
      <c r="L21" s="108">
        <v>4.93</v>
      </c>
      <c r="M21" s="108">
        <v>29.94</v>
      </c>
      <c r="N21" s="108">
        <v>19.71</v>
      </c>
      <c r="O21" s="108">
        <v>19.52</v>
      </c>
      <c r="P21" s="108">
        <v>31.77</v>
      </c>
      <c r="Q21" s="108">
        <v>28.76</v>
      </c>
      <c r="R21" s="108">
        <v>31.97</v>
      </c>
      <c r="S21" s="108">
        <v>32.07</v>
      </c>
      <c r="T21" s="108">
        <v>23.44</v>
      </c>
      <c r="U21" s="108">
        <v>0.02</v>
      </c>
      <c r="V21" s="108">
        <v>0.25</v>
      </c>
      <c r="W21" s="108">
        <v>0.17</v>
      </c>
      <c r="X21" s="108">
        <v>0.09</v>
      </c>
      <c r="Y21" s="108">
        <v>12.2</v>
      </c>
      <c r="Z21" s="108">
        <v>12.96</v>
      </c>
      <c r="AA21" s="108">
        <v>9.86</v>
      </c>
      <c r="AB21" s="108">
        <v>29.94</v>
      </c>
      <c r="AC21" s="108">
        <v>19.71</v>
      </c>
      <c r="AD21" s="108">
        <v>19.52</v>
      </c>
      <c r="AE21" s="107">
        <v>2.9857411E-2</v>
      </c>
      <c r="AF21" s="107">
        <v>2.7118644000000001E-2</v>
      </c>
      <c r="AG21" s="107">
        <v>3.2853913999999998E-2</v>
      </c>
      <c r="AH21" s="107">
        <v>2.9677347999999999E-2</v>
      </c>
      <c r="AI21" s="107">
        <v>1.3842683E-2</v>
      </c>
      <c r="AJ21" s="107">
        <v>1.3842683E-2</v>
      </c>
      <c r="AK21" s="107">
        <v>19.481461849999999</v>
      </c>
      <c r="AL21" s="107">
        <v>27.155087040000002</v>
      </c>
      <c r="AM21" s="107">
        <v>27.155087000000002</v>
      </c>
      <c r="AN21" s="107">
        <v>27.155087000000002</v>
      </c>
      <c r="AO21" s="107">
        <v>23.083292620000002</v>
      </c>
      <c r="AP21" s="107">
        <v>23.083293000000001</v>
      </c>
      <c r="AQ21" s="107">
        <v>23.083293000000001</v>
      </c>
      <c r="AR21" s="107">
        <v>27.286847609999999</v>
      </c>
      <c r="AS21" s="107">
        <v>26.815985640000001</v>
      </c>
      <c r="AT21" s="109">
        <v>2.0999999999999999E-5</v>
      </c>
      <c r="AU21" s="109">
        <v>1.95E-5</v>
      </c>
      <c r="AV21" s="109">
        <v>2.55E-5</v>
      </c>
      <c r="AW21" s="109">
        <v>2.2099999999999998E-5</v>
      </c>
      <c r="AX21" s="109">
        <v>9.1200000000000008E-6</v>
      </c>
      <c r="AY21" s="109">
        <v>9.1200000000000008E-6</v>
      </c>
      <c r="AZ21" s="107">
        <v>1.0994944E-2</v>
      </c>
      <c r="BA21" s="107">
        <v>6.5969662999999998E-2</v>
      </c>
      <c r="BB21" s="107">
        <v>6.5969700000000006E-2</v>
      </c>
      <c r="BC21" s="107">
        <v>6.5969700000000006E-2</v>
      </c>
      <c r="BD21" s="107">
        <v>6.5969662999999998E-2</v>
      </c>
      <c r="BE21" s="107">
        <v>6.5969700000000006E-2</v>
      </c>
      <c r="BF21" s="107">
        <v>6.5969700000000006E-2</v>
      </c>
      <c r="BG21" s="107">
        <v>6.5969662999999998E-2</v>
      </c>
      <c r="BH21" s="107">
        <v>6.5969662999999998E-2</v>
      </c>
      <c r="BI21" s="107">
        <v>2.58487E-3</v>
      </c>
      <c r="BJ21" s="107">
        <v>2.233096E-3</v>
      </c>
      <c r="BK21" s="107">
        <v>2.750682E-3</v>
      </c>
      <c r="BL21" s="107">
        <v>2.516183E-3</v>
      </c>
      <c r="BM21" s="107">
        <v>1.2173119999999999E-3</v>
      </c>
      <c r="BN21" s="107">
        <v>1.2173119999999999E-3</v>
      </c>
      <c r="BO21" s="107">
        <v>4.8050510000000003E-3</v>
      </c>
      <c r="BP21" s="107">
        <v>1.4415152000000001E-2</v>
      </c>
      <c r="BQ21" s="107">
        <v>1.44152E-2</v>
      </c>
      <c r="BR21" s="107">
        <v>1.44152E-2</v>
      </c>
      <c r="BS21" s="107">
        <v>1.4415152000000001E-2</v>
      </c>
      <c r="BT21" s="107">
        <v>1.44152E-2</v>
      </c>
      <c r="BU21" s="107">
        <v>1.44152E-2</v>
      </c>
      <c r="BV21" s="107">
        <v>1.4415152000000001E-2</v>
      </c>
      <c r="BW21" s="107">
        <v>1.4415152000000001E-2</v>
      </c>
    </row>
    <row r="22" spans="1:75" x14ac:dyDescent="0.25">
      <c r="A22" s="107">
        <v>21</v>
      </c>
      <c r="B22" s="108">
        <v>0.08</v>
      </c>
      <c r="C22" s="108">
        <v>0.06</v>
      </c>
      <c r="D22" s="108">
        <v>0.08</v>
      </c>
      <c r="E22" s="108">
        <v>0.06</v>
      </c>
      <c r="F22" s="108">
        <v>0.05</v>
      </c>
      <c r="G22" s="108">
        <v>0.05</v>
      </c>
      <c r="H22" s="108">
        <v>84.91</v>
      </c>
      <c r="I22" s="108">
        <v>18.190000000000001</v>
      </c>
      <c r="J22" s="108">
        <v>0</v>
      </c>
      <c r="K22" s="108">
        <v>0</v>
      </c>
      <c r="L22" s="108">
        <v>4.93</v>
      </c>
      <c r="M22" s="108">
        <v>30.3</v>
      </c>
      <c r="N22" s="108">
        <v>19.95</v>
      </c>
      <c r="O22" s="108">
        <v>19.760000000000002</v>
      </c>
      <c r="P22" s="108">
        <v>32.06</v>
      </c>
      <c r="Q22" s="108">
        <v>29.01</v>
      </c>
      <c r="R22" s="108">
        <v>32.39</v>
      </c>
      <c r="S22" s="108">
        <v>32.340000000000003</v>
      </c>
      <c r="T22" s="108">
        <v>23.01</v>
      </c>
      <c r="U22" s="108">
        <v>0.02</v>
      </c>
      <c r="V22" s="108">
        <v>0.25</v>
      </c>
      <c r="W22" s="108">
        <v>0.17</v>
      </c>
      <c r="X22" s="108">
        <v>0.09</v>
      </c>
      <c r="Y22" s="108">
        <v>12.33</v>
      </c>
      <c r="Z22" s="108">
        <v>13.07</v>
      </c>
      <c r="AA22" s="108">
        <v>9.9600000000000009</v>
      </c>
      <c r="AB22" s="108">
        <v>30.3</v>
      </c>
      <c r="AC22" s="108">
        <v>19.95</v>
      </c>
      <c r="AD22" s="108">
        <v>19.760000000000002</v>
      </c>
      <c r="AE22" s="107">
        <v>2.9304678000000001E-2</v>
      </c>
      <c r="AF22" s="107">
        <v>2.6854861000000001E-2</v>
      </c>
      <c r="AG22" s="107">
        <v>3.2989961999999998E-2</v>
      </c>
      <c r="AH22" s="107">
        <v>2.9735147999999999E-2</v>
      </c>
      <c r="AI22" s="107">
        <v>1.3906119E-2</v>
      </c>
      <c r="AJ22" s="107">
        <v>1.3906119E-2</v>
      </c>
      <c r="AK22" s="107">
        <v>19.752980480000002</v>
      </c>
      <c r="AL22" s="107">
        <v>27.533555150000002</v>
      </c>
      <c r="AM22" s="107">
        <v>27.533555</v>
      </c>
      <c r="AN22" s="107">
        <v>27.533555</v>
      </c>
      <c r="AO22" s="107">
        <v>23.40501098</v>
      </c>
      <c r="AP22" s="107">
        <v>23.405010999999998</v>
      </c>
      <c r="AQ22" s="107">
        <v>23.405010999999998</v>
      </c>
      <c r="AR22" s="107">
        <v>27.667152099999999</v>
      </c>
      <c r="AS22" s="107">
        <v>27.189727600000001</v>
      </c>
      <c r="AT22" s="109">
        <v>2.05E-5</v>
      </c>
      <c r="AU22" s="109">
        <v>1.9199999999999999E-5</v>
      </c>
      <c r="AV22" s="109">
        <v>2.51E-5</v>
      </c>
      <c r="AW22" s="109">
        <v>2.19E-5</v>
      </c>
      <c r="AX22" s="109">
        <v>9.1400000000000006E-6</v>
      </c>
      <c r="AY22" s="109">
        <v>9.1400000000000006E-6</v>
      </c>
      <c r="AZ22" s="107">
        <v>1.1175325E-2</v>
      </c>
      <c r="BA22" s="107">
        <v>6.7051950999999999E-2</v>
      </c>
      <c r="BB22" s="107">
        <v>6.7052E-2</v>
      </c>
      <c r="BC22" s="107">
        <v>6.7052E-2</v>
      </c>
      <c r="BD22" s="107">
        <v>6.7051950999999999E-2</v>
      </c>
      <c r="BE22" s="107">
        <v>6.7052E-2</v>
      </c>
      <c r="BF22" s="107">
        <v>6.7052E-2</v>
      </c>
      <c r="BG22" s="107">
        <v>6.7051950999999999E-2</v>
      </c>
      <c r="BH22" s="107">
        <v>6.7051950999999999E-2</v>
      </c>
      <c r="BI22" s="107">
        <v>2.5716929999999999E-3</v>
      </c>
      <c r="BJ22" s="107">
        <v>2.2411079999999999E-3</v>
      </c>
      <c r="BK22" s="107">
        <v>2.8105169999999998E-3</v>
      </c>
      <c r="BL22" s="107">
        <v>2.5586879999999999E-3</v>
      </c>
      <c r="BM22" s="107">
        <v>1.237791E-3</v>
      </c>
      <c r="BN22" s="107">
        <v>1.237791E-3</v>
      </c>
      <c r="BO22" s="107">
        <v>4.9265840000000003E-3</v>
      </c>
      <c r="BP22" s="107">
        <v>1.4779753E-2</v>
      </c>
      <c r="BQ22" s="107">
        <v>1.4779799999999999E-2</v>
      </c>
      <c r="BR22" s="107">
        <v>1.4779799999999999E-2</v>
      </c>
      <c r="BS22" s="107">
        <v>1.4779753E-2</v>
      </c>
      <c r="BT22" s="107">
        <v>1.4779799999999999E-2</v>
      </c>
      <c r="BU22" s="107">
        <v>1.4779799999999999E-2</v>
      </c>
      <c r="BV22" s="107">
        <v>1.4779753E-2</v>
      </c>
      <c r="BW22" s="107">
        <v>1.4779753E-2</v>
      </c>
    </row>
    <row r="23" spans="1:75" x14ac:dyDescent="0.25">
      <c r="A23" s="107">
        <v>22</v>
      </c>
      <c r="B23" s="108">
        <v>0.08</v>
      </c>
      <c r="C23" s="108">
        <v>0.06</v>
      </c>
      <c r="D23" s="108">
        <v>0.08</v>
      </c>
      <c r="E23" s="108">
        <v>0.06</v>
      </c>
      <c r="F23" s="108">
        <v>0.05</v>
      </c>
      <c r="G23" s="108">
        <v>0.05</v>
      </c>
      <c r="H23" s="108">
        <v>84.79</v>
      </c>
      <c r="I23" s="108">
        <v>18.18</v>
      </c>
      <c r="J23" s="108">
        <v>0</v>
      </c>
      <c r="K23" s="108">
        <v>0</v>
      </c>
      <c r="L23" s="108">
        <v>4.92</v>
      </c>
      <c r="M23" s="108">
        <v>31.07</v>
      </c>
      <c r="N23" s="108">
        <v>20.440000000000001</v>
      </c>
      <c r="O23" s="108">
        <v>20.239999999999998</v>
      </c>
      <c r="P23" s="108">
        <v>32.520000000000003</v>
      </c>
      <c r="Q23" s="108">
        <v>29.55</v>
      </c>
      <c r="R23" s="108">
        <v>33.26</v>
      </c>
      <c r="S23" s="108">
        <v>33.04</v>
      </c>
      <c r="T23" s="108">
        <v>23.39</v>
      </c>
      <c r="U23" s="108">
        <v>0.02</v>
      </c>
      <c r="V23" s="108">
        <v>0.26</v>
      </c>
      <c r="W23" s="108">
        <v>0.17</v>
      </c>
      <c r="X23" s="108">
        <v>0.1</v>
      </c>
      <c r="Y23" s="108">
        <v>12.38</v>
      </c>
      <c r="Z23" s="108">
        <v>13.07</v>
      </c>
      <c r="AA23" s="108">
        <v>9.91</v>
      </c>
      <c r="AB23" s="108">
        <v>31.07</v>
      </c>
      <c r="AC23" s="108">
        <v>20.440000000000001</v>
      </c>
      <c r="AD23" s="108">
        <v>20.239999999999998</v>
      </c>
      <c r="AE23" s="107">
        <v>2.8822683000000002E-2</v>
      </c>
      <c r="AF23" s="107">
        <v>2.6663514999999999E-2</v>
      </c>
      <c r="AG23" s="107">
        <v>3.3229423000000001E-2</v>
      </c>
      <c r="AH23" s="107">
        <v>2.9884126E-2</v>
      </c>
      <c r="AI23" s="107">
        <v>1.4013337000000001E-2</v>
      </c>
      <c r="AJ23" s="107">
        <v>1.4013337000000001E-2</v>
      </c>
      <c r="AK23" s="107">
        <v>20.09237877</v>
      </c>
      <c r="AL23" s="107">
        <v>28.00664029</v>
      </c>
      <c r="AM23" s="107">
        <v>28.006640000000001</v>
      </c>
      <c r="AN23" s="107">
        <v>28.006640000000001</v>
      </c>
      <c r="AO23" s="107">
        <v>23.807158940000001</v>
      </c>
      <c r="AP23" s="107">
        <v>23.807158999999999</v>
      </c>
      <c r="AQ23" s="107">
        <v>23.807158999999999</v>
      </c>
      <c r="AR23" s="107">
        <v>28.142532719999998</v>
      </c>
      <c r="AS23" s="107">
        <v>27.656905049999999</v>
      </c>
      <c r="AT23" s="109">
        <v>1.9899999999999999E-5</v>
      </c>
      <c r="AU23" s="109">
        <v>1.88E-5</v>
      </c>
      <c r="AV23" s="109">
        <v>2.4600000000000002E-5</v>
      </c>
      <c r="AW23" s="109">
        <v>2.1699999999999999E-5</v>
      </c>
      <c r="AX23" s="109">
        <v>9.1700000000000003E-6</v>
      </c>
      <c r="AY23" s="109">
        <v>9.1700000000000003E-6</v>
      </c>
      <c r="AZ23" s="107">
        <v>1.1355706E-2</v>
      </c>
      <c r="BA23" s="107">
        <v>6.8134238999999999E-2</v>
      </c>
      <c r="BB23" s="107">
        <v>6.8134200000000006E-2</v>
      </c>
      <c r="BC23" s="107">
        <v>6.8134200000000006E-2</v>
      </c>
      <c r="BD23" s="107">
        <v>6.8134238999999999E-2</v>
      </c>
      <c r="BE23" s="107">
        <v>6.8134200000000006E-2</v>
      </c>
      <c r="BF23" s="107">
        <v>6.8134200000000006E-2</v>
      </c>
      <c r="BG23" s="107">
        <v>6.8134238999999999E-2</v>
      </c>
      <c r="BH23" s="107">
        <v>6.8134238999999999E-2</v>
      </c>
      <c r="BI23" s="107">
        <v>2.5546409999999999E-3</v>
      </c>
      <c r="BJ23" s="107">
        <v>2.2467279999999999E-3</v>
      </c>
      <c r="BK23" s="107">
        <v>2.8698730000000002E-3</v>
      </c>
      <c r="BL23" s="107">
        <v>2.6001499999999999E-3</v>
      </c>
      <c r="BM23" s="107">
        <v>1.2577619999999999E-3</v>
      </c>
      <c r="BN23" s="107">
        <v>1.2577619999999999E-3</v>
      </c>
      <c r="BO23" s="107">
        <v>5.0481179999999999E-3</v>
      </c>
      <c r="BP23" s="107">
        <v>1.5144352999999999E-2</v>
      </c>
      <c r="BQ23" s="107">
        <v>1.5144400000000001E-2</v>
      </c>
      <c r="BR23" s="107">
        <v>1.5144400000000001E-2</v>
      </c>
      <c r="BS23" s="107">
        <v>1.5144352999999999E-2</v>
      </c>
      <c r="BT23" s="107">
        <v>1.5144400000000001E-2</v>
      </c>
      <c r="BU23" s="107">
        <v>1.5144400000000001E-2</v>
      </c>
      <c r="BV23" s="107">
        <v>1.5144352999999999E-2</v>
      </c>
      <c r="BW23" s="107">
        <v>1.5144352999999999E-2</v>
      </c>
    </row>
    <row r="24" spans="1:75" x14ac:dyDescent="0.25">
      <c r="A24" s="107">
        <v>23</v>
      </c>
      <c r="B24" s="108">
        <v>0.08</v>
      </c>
      <c r="C24" s="108">
        <v>0.06</v>
      </c>
      <c r="D24" s="108">
        <v>0.08</v>
      </c>
      <c r="E24" s="108">
        <v>0.06</v>
      </c>
      <c r="F24" s="108">
        <v>0.05</v>
      </c>
      <c r="G24" s="108">
        <v>0.05</v>
      </c>
      <c r="H24" s="108">
        <v>84.68</v>
      </c>
      <c r="I24" s="108">
        <v>18.170000000000002</v>
      </c>
      <c r="J24" s="108">
        <v>0</v>
      </c>
      <c r="K24" s="108">
        <v>0</v>
      </c>
      <c r="L24" s="108">
        <v>4.92</v>
      </c>
      <c r="M24" s="108">
        <v>31.08</v>
      </c>
      <c r="N24" s="108">
        <v>20.440000000000001</v>
      </c>
      <c r="O24" s="108">
        <v>20.25</v>
      </c>
      <c r="P24" s="108">
        <v>32.840000000000003</v>
      </c>
      <c r="Q24" s="108">
        <v>29.74</v>
      </c>
      <c r="R24" s="108">
        <v>33.58</v>
      </c>
      <c r="S24" s="108">
        <v>33.1</v>
      </c>
      <c r="T24" s="108">
        <v>23.51</v>
      </c>
      <c r="U24" s="108">
        <v>0.02</v>
      </c>
      <c r="V24" s="108">
        <v>0.26</v>
      </c>
      <c r="W24" s="108">
        <v>0.17</v>
      </c>
      <c r="X24" s="108">
        <v>0.1</v>
      </c>
      <c r="Y24" s="108">
        <v>12.37</v>
      </c>
      <c r="Z24" s="108">
        <v>13.01</v>
      </c>
      <c r="AA24" s="108">
        <v>9.82</v>
      </c>
      <c r="AB24" s="108">
        <v>31.08</v>
      </c>
      <c r="AC24" s="108">
        <v>20.440000000000001</v>
      </c>
      <c r="AD24" s="108">
        <v>20.25</v>
      </c>
      <c r="AE24" s="107">
        <v>2.8213350000000002E-2</v>
      </c>
      <c r="AF24" s="107">
        <v>2.6362242000000001E-2</v>
      </c>
      <c r="AG24" s="107">
        <v>3.3346669000000002E-2</v>
      </c>
      <c r="AH24" s="107">
        <v>2.9921139999999999E-2</v>
      </c>
      <c r="AI24" s="107">
        <v>1.4069208E-2</v>
      </c>
      <c r="AJ24" s="107">
        <v>1.4069208E-2</v>
      </c>
      <c r="AK24" s="107">
        <v>20.363897399999999</v>
      </c>
      <c r="AL24" s="107">
        <v>28.3851084</v>
      </c>
      <c r="AM24" s="107">
        <v>28.385107999999999</v>
      </c>
      <c r="AN24" s="107">
        <v>28.385107999999999</v>
      </c>
      <c r="AO24" s="107">
        <v>24.128877299999999</v>
      </c>
      <c r="AP24" s="107">
        <v>24.128876999999999</v>
      </c>
      <c r="AQ24" s="107">
        <v>24.128876999999999</v>
      </c>
      <c r="AR24" s="107">
        <v>28.52283722</v>
      </c>
      <c r="AS24" s="107">
        <v>28.030647009999999</v>
      </c>
      <c r="AT24" s="109">
        <v>1.9400000000000001E-5</v>
      </c>
      <c r="AU24" s="109">
        <v>1.84E-5</v>
      </c>
      <c r="AV24" s="109">
        <v>2.4199999999999999E-5</v>
      </c>
      <c r="AW24" s="109">
        <v>2.1399999999999998E-5</v>
      </c>
      <c r="AX24" s="109">
        <v>9.1800000000000002E-6</v>
      </c>
      <c r="AY24" s="109">
        <v>9.1800000000000002E-6</v>
      </c>
      <c r="AZ24" s="107">
        <v>1.1536216E-2</v>
      </c>
      <c r="BA24" s="107">
        <v>6.9217293999999999E-2</v>
      </c>
      <c r="BB24" s="107">
        <v>6.9217299999999995E-2</v>
      </c>
      <c r="BC24" s="107">
        <v>6.9217299999999995E-2</v>
      </c>
      <c r="BD24" s="107">
        <v>6.9217293999999999E-2</v>
      </c>
      <c r="BE24" s="107">
        <v>6.9217299999999995E-2</v>
      </c>
      <c r="BF24" s="107">
        <v>6.9217299999999995E-2</v>
      </c>
      <c r="BG24" s="107">
        <v>6.9217293999999999E-2</v>
      </c>
      <c r="BH24" s="107">
        <v>6.9217293999999999E-2</v>
      </c>
      <c r="BI24" s="107">
        <v>2.5337129999999999E-3</v>
      </c>
      <c r="BJ24" s="107">
        <v>2.2499579999999998E-3</v>
      </c>
      <c r="BK24" s="107">
        <v>2.9287480000000001E-3</v>
      </c>
      <c r="BL24" s="107">
        <v>2.6405700000000001E-3</v>
      </c>
      <c r="BM24" s="107">
        <v>1.2772250000000001E-3</v>
      </c>
      <c r="BN24" s="107">
        <v>1.2772250000000001E-3</v>
      </c>
      <c r="BO24" s="107">
        <v>5.1696509999999999E-3</v>
      </c>
      <c r="BP24" s="107">
        <v>1.5508954E-2</v>
      </c>
      <c r="BQ24" s="107">
        <v>1.5509E-2</v>
      </c>
      <c r="BR24" s="107">
        <v>1.5509E-2</v>
      </c>
      <c r="BS24" s="107">
        <v>1.5508954E-2</v>
      </c>
      <c r="BT24" s="107">
        <v>1.5509E-2</v>
      </c>
      <c r="BU24" s="107">
        <v>1.5509E-2</v>
      </c>
      <c r="BV24" s="107">
        <v>1.5508954E-2</v>
      </c>
      <c r="BW24" s="107">
        <v>1.5508954E-2</v>
      </c>
    </row>
    <row r="25" spans="1:75" x14ac:dyDescent="0.25">
      <c r="A25" s="107">
        <v>24</v>
      </c>
      <c r="B25" s="108">
        <v>0.08</v>
      </c>
      <c r="C25" s="108">
        <v>0.06</v>
      </c>
      <c r="D25" s="108">
        <v>0.08</v>
      </c>
      <c r="E25" s="108">
        <v>0.06</v>
      </c>
      <c r="F25" s="108">
        <v>0.05</v>
      </c>
      <c r="G25" s="108">
        <v>0.05</v>
      </c>
      <c r="H25" s="108">
        <v>83.26</v>
      </c>
      <c r="I25" s="108">
        <v>17.64</v>
      </c>
      <c r="J25" s="108">
        <v>0</v>
      </c>
      <c r="K25" s="108">
        <v>0</v>
      </c>
      <c r="L25" s="108">
        <v>4.78</v>
      </c>
      <c r="M25" s="108">
        <v>31.16</v>
      </c>
      <c r="N25" s="108">
        <v>20.440000000000001</v>
      </c>
      <c r="O25" s="108">
        <v>20.239999999999998</v>
      </c>
      <c r="P25" s="108">
        <v>33.07</v>
      </c>
      <c r="Q25" s="108">
        <v>29.87</v>
      </c>
      <c r="R25" s="108">
        <v>33.799999999999997</v>
      </c>
      <c r="S25" s="108">
        <v>33.06</v>
      </c>
      <c r="T25" s="108">
        <v>23.56</v>
      </c>
      <c r="U25" s="108">
        <v>0.02</v>
      </c>
      <c r="V25" s="108">
        <v>0.25</v>
      </c>
      <c r="W25" s="108">
        <v>0.17</v>
      </c>
      <c r="X25" s="108">
        <v>0.09</v>
      </c>
      <c r="Y25" s="108">
        <v>12.37</v>
      </c>
      <c r="Z25" s="108">
        <v>12.98</v>
      </c>
      <c r="AA25" s="108">
        <v>9.7100000000000009</v>
      </c>
      <c r="AB25" s="108">
        <v>31.16</v>
      </c>
      <c r="AC25" s="108">
        <v>20.440000000000001</v>
      </c>
      <c r="AD25" s="108">
        <v>20.239999999999998</v>
      </c>
      <c r="AE25" s="107">
        <v>2.7577381000000002E-2</v>
      </c>
      <c r="AF25" s="107">
        <v>2.6043325999999999E-2</v>
      </c>
      <c r="AG25" s="107">
        <v>3.3455066999999998E-2</v>
      </c>
      <c r="AH25" s="107">
        <v>2.9948371000000001E-2</v>
      </c>
      <c r="AI25" s="107">
        <v>1.4121519000000001E-2</v>
      </c>
      <c r="AJ25" s="107">
        <v>1.4121519000000001E-2</v>
      </c>
      <c r="AK25" s="107">
        <v>20.635416029999998</v>
      </c>
      <c r="AL25" s="107">
        <v>28.76357651</v>
      </c>
      <c r="AM25" s="107">
        <v>28.763577000000002</v>
      </c>
      <c r="AN25" s="107">
        <v>28.763577000000002</v>
      </c>
      <c r="AO25" s="107">
        <v>24.450595660000001</v>
      </c>
      <c r="AP25" s="107">
        <v>24.450596000000001</v>
      </c>
      <c r="AQ25" s="107">
        <v>24.450596000000001</v>
      </c>
      <c r="AR25" s="107">
        <v>28.903141720000001</v>
      </c>
      <c r="AS25" s="107">
        <v>28.404388969999999</v>
      </c>
      <c r="AT25" s="109">
        <v>1.88E-5</v>
      </c>
      <c r="AU25" s="109">
        <v>1.8E-5</v>
      </c>
      <c r="AV25" s="109">
        <v>2.37E-5</v>
      </c>
      <c r="AW25" s="109">
        <v>2.1100000000000001E-5</v>
      </c>
      <c r="AX25" s="109">
        <v>9.2E-6</v>
      </c>
      <c r="AY25" s="109">
        <v>9.2E-6</v>
      </c>
      <c r="AZ25" s="107">
        <v>1.1716597E-2</v>
      </c>
      <c r="BA25" s="107">
        <v>7.0299581999999999E-2</v>
      </c>
      <c r="BB25" s="107">
        <v>7.0299600000000004E-2</v>
      </c>
      <c r="BC25" s="107">
        <v>7.0299600000000004E-2</v>
      </c>
      <c r="BD25" s="107">
        <v>7.0299581999999999E-2</v>
      </c>
      <c r="BE25" s="107">
        <v>7.0299600000000004E-2</v>
      </c>
      <c r="BF25" s="107">
        <v>7.0299600000000004E-2</v>
      </c>
      <c r="BG25" s="107">
        <v>7.0299581999999999E-2</v>
      </c>
      <c r="BH25" s="107">
        <v>7.0299581999999999E-2</v>
      </c>
      <c r="BI25" s="107">
        <v>2.5089090000000001E-3</v>
      </c>
      <c r="BJ25" s="107">
        <v>2.2507949999999999E-3</v>
      </c>
      <c r="BK25" s="107">
        <v>2.9871419999999999E-3</v>
      </c>
      <c r="BL25" s="107">
        <v>2.6799459999999999E-3</v>
      </c>
      <c r="BM25" s="107">
        <v>1.296178E-3</v>
      </c>
      <c r="BN25" s="107">
        <v>1.296178E-3</v>
      </c>
      <c r="BO25" s="107">
        <v>5.2911850000000003E-3</v>
      </c>
      <c r="BP25" s="107">
        <v>1.5873554000000002E-2</v>
      </c>
      <c r="BQ25" s="107">
        <v>1.5873600000000002E-2</v>
      </c>
      <c r="BR25" s="107">
        <v>1.5873600000000002E-2</v>
      </c>
      <c r="BS25" s="107">
        <v>1.5873554000000002E-2</v>
      </c>
      <c r="BT25" s="107">
        <v>1.5873600000000002E-2</v>
      </c>
      <c r="BU25" s="107">
        <v>1.5873600000000002E-2</v>
      </c>
      <c r="BV25" s="107">
        <v>1.5873554000000002E-2</v>
      </c>
      <c r="BW25" s="107">
        <v>1.5873554000000002E-2</v>
      </c>
    </row>
    <row r="26" spans="1:75" x14ac:dyDescent="0.25">
      <c r="A26" s="107">
        <v>25</v>
      </c>
      <c r="B26" s="108">
        <v>0.08</v>
      </c>
      <c r="C26" s="108">
        <v>0.06</v>
      </c>
      <c r="D26" s="108">
        <v>0.08</v>
      </c>
      <c r="E26" s="108">
        <v>0.06</v>
      </c>
      <c r="F26" s="108">
        <v>0.05</v>
      </c>
      <c r="G26" s="108">
        <v>0.05</v>
      </c>
      <c r="H26" s="108">
        <v>81.709999999999994</v>
      </c>
      <c r="I26" s="108">
        <v>17.100000000000001</v>
      </c>
      <c r="J26" s="108">
        <v>0</v>
      </c>
      <c r="K26" s="108">
        <v>0</v>
      </c>
      <c r="L26" s="108">
        <v>4.68</v>
      </c>
      <c r="M26" s="108">
        <v>31.29</v>
      </c>
      <c r="N26" s="108">
        <v>20.55</v>
      </c>
      <c r="O26" s="108">
        <v>20.34</v>
      </c>
      <c r="P26" s="108">
        <v>33.229999999999997</v>
      </c>
      <c r="Q26" s="108">
        <v>29.95</v>
      </c>
      <c r="R26" s="108">
        <v>33.93</v>
      </c>
      <c r="S26" s="108">
        <v>33.130000000000003</v>
      </c>
      <c r="T26" s="108">
        <v>23.79</v>
      </c>
      <c r="U26" s="108">
        <v>0.02</v>
      </c>
      <c r="V26" s="108">
        <v>0.25</v>
      </c>
      <c r="W26" s="108">
        <v>0.17</v>
      </c>
      <c r="X26" s="108">
        <v>0.09</v>
      </c>
      <c r="Y26" s="108">
        <v>12.35</v>
      </c>
      <c r="Z26" s="108">
        <v>12.92</v>
      </c>
      <c r="AA26" s="108">
        <v>9.61</v>
      </c>
      <c r="AB26" s="108">
        <v>31.29</v>
      </c>
      <c r="AC26" s="108">
        <v>20.55</v>
      </c>
      <c r="AD26" s="108">
        <v>20.34</v>
      </c>
      <c r="AE26" s="107">
        <v>2.6914777000000001E-2</v>
      </c>
      <c r="AF26" s="107">
        <v>2.5706768000000001E-2</v>
      </c>
      <c r="AG26" s="107">
        <v>3.3554617000000002E-2</v>
      </c>
      <c r="AH26" s="107">
        <v>2.9965821E-2</v>
      </c>
      <c r="AI26" s="107">
        <v>1.417027E-2</v>
      </c>
      <c r="AJ26" s="107">
        <v>1.417027E-2</v>
      </c>
      <c r="AK26" s="107">
        <v>20.906934660000001</v>
      </c>
      <c r="AL26" s="107">
        <v>29.14204462</v>
      </c>
      <c r="AM26" s="107">
        <v>29.142045</v>
      </c>
      <c r="AN26" s="107">
        <v>29.142045</v>
      </c>
      <c r="AO26" s="107">
        <v>24.77231403</v>
      </c>
      <c r="AP26" s="107">
        <v>24.772314000000001</v>
      </c>
      <c r="AQ26" s="107">
        <v>24.772314000000001</v>
      </c>
      <c r="AR26" s="107">
        <v>29.283446210000001</v>
      </c>
      <c r="AS26" s="107">
        <v>28.77813093</v>
      </c>
      <c r="AT26" s="109">
        <v>1.8099999999999999E-5</v>
      </c>
      <c r="AU26" s="109">
        <v>1.7499999999999998E-5</v>
      </c>
      <c r="AV26" s="109">
        <v>2.3200000000000001E-5</v>
      </c>
      <c r="AW26" s="109">
        <v>2.09E-5</v>
      </c>
      <c r="AX26" s="109">
        <v>9.2099999999999999E-6</v>
      </c>
      <c r="AY26" s="109">
        <v>9.2099999999999999E-6</v>
      </c>
      <c r="AZ26" s="107">
        <v>1.1896978000000001E-2</v>
      </c>
      <c r="BA26" s="107">
        <v>7.138187E-2</v>
      </c>
      <c r="BB26" s="107">
        <v>7.1381899999999998E-2</v>
      </c>
      <c r="BC26" s="107">
        <v>7.1381899999999998E-2</v>
      </c>
      <c r="BD26" s="107">
        <v>7.138187E-2</v>
      </c>
      <c r="BE26" s="107">
        <v>7.1381899999999998E-2</v>
      </c>
      <c r="BF26" s="107">
        <v>7.1381899999999998E-2</v>
      </c>
      <c r="BG26" s="107">
        <v>7.138187E-2</v>
      </c>
      <c r="BH26" s="107">
        <v>7.138187E-2</v>
      </c>
      <c r="BI26" s="107">
        <v>2.480229E-3</v>
      </c>
      <c r="BJ26" s="107">
        <v>2.2492419999999998E-3</v>
      </c>
      <c r="BK26" s="107">
        <v>3.045056E-3</v>
      </c>
      <c r="BL26" s="107">
        <v>2.71828E-3</v>
      </c>
      <c r="BM26" s="107">
        <v>1.314623E-3</v>
      </c>
      <c r="BN26" s="107">
        <v>1.314623E-3</v>
      </c>
      <c r="BO26" s="107">
        <v>5.4127180000000004E-3</v>
      </c>
      <c r="BP26" s="107">
        <v>1.6238155000000001E-2</v>
      </c>
      <c r="BQ26" s="107">
        <v>1.6238200000000001E-2</v>
      </c>
      <c r="BR26" s="107">
        <v>1.6238200000000001E-2</v>
      </c>
      <c r="BS26" s="107">
        <v>1.6238155000000001E-2</v>
      </c>
      <c r="BT26" s="107">
        <v>1.6238200000000001E-2</v>
      </c>
      <c r="BU26" s="107">
        <v>1.6238200000000001E-2</v>
      </c>
      <c r="BV26" s="107">
        <v>1.6238155000000001E-2</v>
      </c>
      <c r="BW26" s="107">
        <v>1.6238155000000001E-2</v>
      </c>
    </row>
    <row r="27" spans="1:75" x14ac:dyDescent="0.25">
      <c r="A27" s="107">
        <v>26</v>
      </c>
      <c r="B27" s="108">
        <v>0.08</v>
      </c>
      <c r="C27" s="108">
        <v>0.06</v>
      </c>
      <c r="D27" s="108">
        <v>0.08</v>
      </c>
      <c r="E27" s="108">
        <v>0.06</v>
      </c>
      <c r="F27" s="108">
        <v>0.05</v>
      </c>
      <c r="G27" s="108">
        <v>0.05</v>
      </c>
      <c r="H27" s="108">
        <v>81.709999999999994</v>
      </c>
      <c r="I27" s="108">
        <v>17.100000000000001</v>
      </c>
      <c r="J27" s="108">
        <v>0</v>
      </c>
      <c r="K27" s="108">
        <v>0</v>
      </c>
      <c r="L27" s="108">
        <v>4.68</v>
      </c>
      <c r="M27" s="108">
        <v>31.29</v>
      </c>
      <c r="N27" s="108">
        <v>20.55</v>
      </c>
      <c r="O27" s="108">
        <v>20.34</v>
      </c>
      <c r="P27" s="108">
        <v>33.229999999999997</v>
      </c>
      <c r="Q27" s="108">
        <v>29.95</v>
      </c>
      <c r="R27" s="108">
        <v>33.93</v>
      </c>
      <c r="S27" s="108">
        <v>33.130000000000003</v>
      </c>
      <c r="T27" s="108">
        <v>23.79</v>
      </c>
      <c r="U27" s="108">
        <v>0.02</v>
      </c>
      <c r="V27" s="108">
        <v>0.25</v>
      </c>
      <c r="W27" s="108">
        <v>0.17</v>
      </c>
      <c r="X27" s="108">
        <v>0.09</v>
      </c>
      <c r="Y27" s="108">
        <v>12.35</v>
      </c>
      <c r="Z27" s="108">
        <v>12.92</v>
      </c>
      <c r="AA27" s="108">
        <v>9.61</v>
      </c>
      <c r="AB27" s="108">
        <v>31.29</v>
      </c>
      <c r="AC27" s="108">
        <v>20.55</v>
      </c>
      <c r="AD27" s="108">
        <v>20.34</v>
      </c>
      <c r="AE27" s="107">
        <v>2.6914777000000001E-2</v>
      </c>
      <c r="AF27" s="107">
        <v>2.5706768000000001E-2</v>
      </c>
      <c r="AG27" s="107">
        <v>3.3554617000000002E-2</v>
      </c>
      <c r="AH27" s="107">
        <v>2.9965821E-2</v>
      </c>
      <c r="AI27" s="107">
        <v>1.417027E-2</v>
      </c>
      <c r="AJ27" s="107">
        <v>1.417027E-2</v>
      </c>
      <c r="AK27" s="107">
        <v>20.906934660000001</v>
      </c>
      <c r="AL27" s="107">
        <v>29.14204462</v>
      </c>
      <c r="AM27" s="107">
        <v>29.142045</v>
      </c>
      <c r="AN27" s="107">
        <v>29.142045</v>
      </c>
      <c r="AO27" s="107">
        <v>24.77231403</v>
      </c>
      <c r="AP27" s="107">
        <v>24.772314000000001</v>
      </c>
      <c r="AQ27" s="107">
        <v>24.772314000000001</v>
      </c>
      <c r="AR27" s="107">
        <v>29.283446210000001</v>
      </c>
      <c r="AS27" s="107">
        <v>28.77813093</v>
      </c>
      <c r="AT27" s="109">
        <v>1.8099999999999999E-5</v>
      </c>
      <c r="AU27" s="109">
        <v>1.7499999999999998E-5</v>
      </c>
      <c r="AV27" s="109">
        <v>2.3200000000000001E-5</v>
      </c>
      <c r="AW27" s="109">
        <v>2.09E-5</v>
      </c>
      <c r="AX27" s="109">
        <v>9.2099999999999999E-6</v>
      </c>
      <c r="AY27" s="109">
        <v>9.2099999999999999E-6</v>
      </c>
      <c r="AZ27" s="107">
        <v>1.1896978000000001E-2</v>
      </c>
      <c r="BA27" s="107">
        <v>7.138187E-2</v>
      </c>
      <c r="BB27" s="107">
        <v>7.1381899999999998E-2</v>
      </c>
      <c r="BC27" s="107">
        <v>7.1381899999999998E-2</v>
      </c>
      <c r="BD27" s="107">
        <v>7.138187E-2</v>
      </c>
      <c r="BE27" s="107">
        <v>7.1381899999999998E-2</v>
      </c>
      <c r="BF27" s="107">
        <v>7.1381899999999998E-2</v>
      </c>
      <c r="BG27" s="107">
        <v>7.138187E-2</v>
      </c>
      <c r="BH27" s="107">
        <v>7.138187E-2</v>
      </c>
      <c r="BI27" s="107">
        <v>2.480229E-3</v>
      </c>
      <c r="BJ27" s="107">
        <v>2.2492419999999998E-3</v>
      </c>
      <c r="BK27" s="107">
        <v>3.045056E-3</v>
      </c>
      <c r="BL27" s="107">
        <v>2.71828E-3</v>
      </c>
      <c r="BM27" s="107">
        <v>1.314623E-3</v>
      </c>
      <c r="BN27" s="107">
        <v>1.314623E-3</v>
      </c>
      <c r="BO27" s="107">
        <v>5.4127180000000004E-3</v>
      </c>
      <c r="BP27" s="107">
        <v>1.6238155000000001E-2</v>
      </c>
      <c r="BQ27" s="107">
        <v>1.6238200000000001E-2</v>
      </c>
      <c r="BR27" s="107">
        <v>1.6238200000000001E-2</v>
      </c>
      <c r="BS27" s="107">
        <v>1.6238155000000001E-2</v>
      </c>
      <c r="BT27" s="107">
        <v>1.6238200000000001E-2</v>
      </c>
      <c r="BU27" s="107">
        <v>1.6238200000000001E-2</v>
      </c>
      <c r="BV27" s="107">
        <v>1.6238155000000001E-2</v>
      </c>
      <c r="BW27" s="107">
        <v>1.6238155000000001E-2</v>
      </c>
    </row>
    <row r="28" spans="1:75" x14ac:dyDescent="0.25">
      <c r="A28" s="107">
        <v>27</v>
      </c>
      <c r="B28" s="108">
        <v>0.08</v>
      </c>
      <c r="C28" s="108">
        <v>0.06</v>
      </c>
      <c r="D28" s="108">
        <v>0.08</v>
      </c>
      <c r="E28" s="108">
        <v>0.06</v>
      </c>
      <c r="F28" s="108">
        <v>0.05</v>
      </c>
      <c r="G28" s="108">
        <v>0.05</v>
      </c>
      <c r="H28" s="108">
        <v>81.709999999999994</v>
      </c>
      <c r="I28" s="108">
        <v>17.100000000000001</v>
      </c>
      <c r="J28" s="108">
        <v>0</v>
      </c>
      <c r="K28" s="108">
        <v>0</v>
      </c>
      <c r="L28" s="108">
        <v>4.68</v>
      </c>
      <c r="M28" s="108">
        <v>31.29</v>
      </c>
      <c r="N28" s="108">
        <v>20.55</v>
      </c>
      <c r="O28" s="108">
        <v>20.34</v>
      </c>
      <c r="P28" s="108">
        <v>33.229999999999997</v>
      </c>
      <c r="Q28" s="108">
        <v>29.95</v>
      </c>
      <c r="R28" s="108">
        <v>33.93</v>
      </c>
      <c r="S28" s="108">
        <v>33.130000000000003</v>
      </c>
      <c r="T28" s="108">
        <v>23.79</v>
      </c>
      <c r="U28" s="108">
        <v>0.02</v>
      </c>
      <c r="V28" s="108">
        <v>0.25</v>
      </c>
      <c r="W28" s="108">
        <v>0.17</v>
      </c>
      <c r="X28" s="108">
        <v>0.09</v>
      </c>
      <c r="Y28" s="108">
        <v>12.35</v>
      </c>
      <c r="Z28" s="108">
        <v>12.92</v>
      </c>
      <c r="AA28" s="108">
        <v>9.61</v>
      </c>
      <c r="AB28" s="108">
        <v>31.29</v>
      </c>
      <c r="AC28" s="108">
        <v>20.55</v>
      </c>
      <c r="AD28" s="108">
        <v>20.34</v>
      </c>
      <c r="AE28" s="107">
        <v>2.6914777000000001E-2</v>
      </c>
      <c r="AF28" s="107">
        <v>2.5706768000000001E-2</v>
      </c>
      <c r="AG28" s="107">
        <v>3.3554617000000002E-2</v>
      </c>
      <c r="AH28" s="107">
        <v>2.9965821E-2</v>
      </c>
      <c r="AI28" s="107">
        <v>1.417027E-2</v>
      </c>
      <c r="AJ28" s="107">
        <v>1.417027E-2</v>
      </c>
      <c r="AK28" s="107">
        <v>20.906934660000001</v>
      </c>
      <c r="AL28" s="107">
        <v>29.14204462</v>
      </c>
      <c r="AM28" s="107">
        <v>29.142045</v>
      </c>
      <c r="AN28" s="107">
        <v>29.142045</v>
      </c>
      <c r="AO28" s="107">
        <v>24.77231403</v>
      </c>
      <c r="AP28" s="107">
        <v>24.772314000000001</v>
      </c>
      <c r="AQ28" s="107">
        <v>24.772314000000001</v>
      </c>
      <c r="AR28" s="107">
        <v>29.283446210000001</v>
      </c>
      <c r="AS28" s="107">
        <v>28.77813093</v>
      </c>
      <c r="AT28" s="109">
        <v>1.8099999999999999E-5</v>
      </c>
      <c r="AU28" s="109">
        <v>1.7499999999999998E-5</v>
      </c>
      <c r="AV28" s="109">
        <v>2.3200000000000001E-5</v>
      </c>
      <c r="AW28" s="109">
        <v>2.09E-5</v>
      </c>
      <c r="AX28" s="109">
        <v>9.2099999999999999E-6</v>
      </c>
      <c r="AY28" s="109">
        <v>9.2099999999999999E-6</v>
      </c>
      <c r="AZ28" s="107">
        <v>1.1896978000000001E-2</v>
      </c>
      <c r="BA28" s="107">
        <v>7.138187E-2</v>
      </c>
      <c r="BB28" s="107">
        <v>7.1381899999999998E-2</v>
      </c>
      <c r="BC28" s="107">
        <v>7.1381899999999998E-2</v>
      </c>
      <c r="BD28" s="107">
        <v>7.138187E-2</v>
      </c>
      <c r="BE28" s="107">
        <v>7.1381899999999998E-2</v>
      </c>
      <c r="BF28" s="107">
        <v>7.1381899999999998E-2</v>
      </c>
      <c r="BG28" s="107">
        <v>7.138187E-2</v>
      </c>
      <c r="BH28" s="107">
        <v>7.138187E-2</v>
      </c>
      <c r="BI28" s="107">
        <v>2.480229E-3</v>
      </c>
      <c r="BJ28" s="107">
        <v>2.2492419999999998E-3</v>
      </c>
      <c r="BK28" s="107">
        <v>3.045056E-3</v>
      </c>
      <c r="BL28" s="107">
        <v>2.71828E-3</v>
      </c>
      <c r="BM28" s="107">
        <v>1.314623E-3</v>
      </c>
      <c r="BN28" s="107">
        <v>1.314623E-3</v>
      </c>
      <c r="BO28" s="107">
        <v>5.4127180000000004E-3</v>
      </c>
      <c r="BP28" s="107">
        <v>1.6238155000000001E-2</v>
      </c>
      <c r="BQ28" s="107">
        <v>1.6238200000000001E-2</v>
      </c>
      <c r="BR28" s="107">
        <v>1.6238200000000001E-2</v>
      </c>
      <c r="BS28" s="107">
        <v>1.6238155000000001E-2</v>
      </c>
      <c r="BT28" s="107">
        <v>1.6238200000000001E-2</v>
      </c>
      <c r="BU28" s="107">
        <v>1.6238200000000001E-2</v>
      </c>
      <c r="BV28" s="107">
        <v>1.6238155000000001E-2</v>
      </c>
      <c r="BW28" s="107">
        <v>1.6238155000000001E-2</v>
      </c>
    </row>
    <row r="29" spans="1:75" x14ac:dyDescent="0.25">
      <c r="A29" s="107">
        <v>28</v>
      </c>
      <c r="B29" s="108">
        <v>0.08</v>
      </c>
      <c r="C29" s="108">
        <v>0.06</v>
      </c>
      <c r="D29" s="108">
        <v>0.08</v>
      </c>
      <c r="E29" s="108">
        <v>0.06</v>
      </c>
      <c r="F29" s="108">
        <v>0.05</v>
      </c>
      <c r="G29" s="108">
        <v>0.05</v>
      </c>
      <c r="H29" s="108">
        <v>81.709999999999994</v>
      </c>
      <c r="I29" s="108">
        <v>17.100000000000001</v>
      </c>
      <c r="J29" s="108">
        <v>0</v>
      </c>
      <c r="K29" s="108">
        <v>0</v>
      </c>
      <c r="L29" s="108">
        <v>4.68</v>
      </c>
      <c r="M29" s="108">
        <v>31.29</v>
      </c>
      <c r="N29" s="108">
        <v>20.55</v>
      </c>
      <c r="O29" s="108">
        <v>20.34</v>
      </c>
      <c r="P29" s="108">
        <v>33.229999999999997</v>
      </c>
      <c r="Q29" s="108">
        <v>29.95</v>
      </c>
      <c r="R29" s="108">
        <v>33.93</v>
      </c>
      <c r="S29" s="108">
        <v>33.130000000000003</v>
      </c>
      <c r="T29" s="108">
        <v>23.79</v>
      </c>
      <c r="U29" s="108">
        <v>0.02</v>
      </c>
      <c r="V29" s="108">
        <v>0.25</v>
      </c>
      <c r="W29" s="108">
        <v>0.17</v>
      </c>
      <c r="X29" s="108">
        <v>0.09</v>
      </c>
      <c r="Y29" s="108">
        <v>12.35</v>
      </c>
      <c r="Z29" s="108">
        <v>12.92</v>
      </c>
      <c r="AA29" s="108">
        <v>9.61</v>
      </c>
      <c r="AB29" s="108">
        <v>31.29</v>
      </c>
      <c r="AC29" s="108">
        <v>20.55</v>
      </c>
      <c r="AD29" s="108">
        <v>20.34</v>
      </c>
      <c r="AE29" s="107">
        <v>2.6914777000000001E-2</v>
      </c>
      <c r="AF29" s="107">
        <v>2.5706768000000001E-2</v>
      </c>
      <c r="AG29" s="107">
        <v>3.3554617000000002E-2</v>
      </c>
      <c r="AH29" s="107">
        <v>2.9965821E-2</v>
      </c>
      <c r="AI29" s="107">
        <v>1.417027E-2</v>
      </c>
      <c r="AJ29" s="107">
        <v>1.417027E-2</v>
      </c>
      <c r="AK29" s="107">
        <v>20.906934660000001</v>
      </c>
      <c r="AL29" s="107">
        <v>29.14204462</v>
      </c>
      <c r="AM29" s="107">
        <v>29.142045</v>
      </c>
      <c r="AN29" s="107">
        <v>29.142045</v>
      </c>
      <c r="AO29" s="107">
        <v>24.77231403</v>
      </c>
      <c r="AP29" s="107">
        <v>24.772314000000001</v>
      </c>
      <c r="AQ29" s="107">
        <v>24.772314000000001</v>
      </c>
      <c r="AR29" s="107">
        <v>29.283446210000001</v>
      </c>
      <c r="AS29" s="107">
        <v>28.77813093</v>
      </c>
      <c r="AT29" s="109">
        <v>1.8099999999999999E-5</v>
      </c>
      <c r="AU29" s="109">
        <v>1.7499999999999998E-5</v>
      </c>
      <c r="AV29" s="109">
        <v>2.3200000000000001E-5</v>
      </c>
      <c r="AW29" s="109">
        <v>2.09E-5</v>
      </c>
      <c r="AX29" s="109">
        <v>9.2099999999999999E-6</v>
      </c>
      <c r="AY29" s="109">
        <v>9.2099999999999999E-6</v>
      </c>
      <c r="AZ29" s="107">
        <v>1.1896978000000001E-2</v>
      </c>
      <c r="BA29" s="107">
        <v>7.138187E-2</v>
      </c>
      <c r="BB29" s="107">
        <v>7.1381899999999998E-2</v>
      </c>
      <c r="BC29" s="107">
        <v>7.1381899999999998E-2</v>
      </c>
      <c r="BD29" s="107">
        <v>7.138187E-2</v>
      </c>
      <c r="BE29" s="107">
        <v>7.1381899999999998E-2</v>
      </c>
      <c r="BF29" s="107">
        <v>7.1381899999999998E-2</v>
      </c>
      <c r="BG29" s="107">
        <v>7.138187E-2</v>
      </c>
      <c r="BH29" s="107">
        <v>7.138187E-2</v>
      </c>
      <c r="BI29" s="107">
        <v>2.480229E-3</v>
      </c>
      <c r="BJ29" s="107">
        <v>2.2492419999999998E-3</v>
      </c>
      <c r="BK29" s="107">
        <v>3.045056E-3</v>
      </c>
      <c r="BL29" s="107">
        <v>2.71828E-3</v>
      </c>
      <c r="BM29" s="107">
        <v>1.314623E-3</v>
      </c>
      <c r="BN29" s="107">
        <v>1.314623E-3</v>
      </c>
      <c r="BO29" s="107">
        <v>5.4127180000000004E-3</v>
      </c>
      <c r="BP29" s="107">
        <v>1.6238155000000001E-2</v>
      </c>
      <c r="BQ29" s="107">
        <v>1.6238200000000001E-2</v>
      </c>
      <c r="BR29" s="107">
        <v>1.6238200000000001E-2</v>
      </c>
      <c r="BS29" s="107">
        <v>1.6238155000000001E-2</v>
      </c>
      <c r="BT29" s="107">
        <v>1.6238200000000001E-2</v>
      </c>
      <c r="BU29" s="107">
        <v>1.6238200000000001E-2</v>
      </c>
      <c r="BV29" s="107">
        <v>1.6238155000000001E-2</v>
      </c>
      <c r="BW29" s="107">
        <v>1.6238155000000001E-2</v>
      </c>
    </row>
    <row r="30" spans="1:75" x14ac:dyDescent="0.25">
      <c r="A30" s="107">
        <v>29</v>
      </c>
      <c r="B30" s="108">
        <v>0.08</v>
      </c>
      <c r="C30" s="108">
        <v>0.06</v>
      </c>
      <c r="D30" s="108">
        <v>0.08</v>
      </c>
      <c r="E30" s="108">
        <v>0.06</v>
      </c>
      <c r="F30" s="108">
        <v>0.05</v>
      </c>
      <c r="G30" s="108">
        <v>0.05</v>
      </c>
      <c r="H30" s="108">
        <v>81.709999999999994</v>
      </c>
      <c r="I30" s="108">
        <v>17.100000000000001</v>
      </c>
      <c r="J30" s="108">
        <v>0</v>
      </c>
      <c r="K30" s="108">
        <v>0</v>
      </c>
      <c r="L30" s="108">
        <v>4.68</v>
      </c>
      <c r="M30" s="108">
        <v>31.29</v>
      </c>
      <c r="N30" s="108">
        <v>20.55</v>
      </c>
      <c r="O30" s="108">
        <v>20.34</v>
      </c>
      <c r="P30" s="108">
        <v>33.229999999999997</v>
      </c>
      <c r="Q30" s="108">
        <v>29.95</v>
      </c>
      <c r="R30" s="108">
        <v>33.93</v>
      </c>
      <c r="S30" s="108">
        <v>33.130000000000003</v>
      </c>
      <c r="T30" s="108">
        <v>23.79</v>
      </c>
      <c r="U30" s="108">
        <v>0.02</v>
      </c>
      <c r="V30" s="108">
        <v>0.25</v>
      </c>
      <c r="W30" s="108">
        <v>0.17</v>
      </c>
      <c r="X30" s="108">
        <v>0.09</v>
      </c>
      <c r="Y30" s="108">
        <v>12.35</v>
      </c>
      <c r="Z30" s="108">
        <v>12.92</v>
      </c>
      <c r="AA30" s="108">
        <v>9.61</v>
      </c>
      <c r="AB30" s="108">
        <v>31.29</v>
      </c>
      <c r="AC30" s="108">
        <v>20.55</v>
      </c>
      <c r="AD30" s="108">
        <v>20.34</v>
      </c>
      <c r="AE30" s="107">
        <v>2.6914777000000001E-2</v>
      </c>
      <c r="AF30" s="107">
        <v>2.5706768000000001E-2</v>
      </c>
      <c r="AG30" s="107">
        <v>3.3554617000000002E-2</v>
      </c>
      <c r="AH30" s="107">
        <v>2.9965821E-2</v>
      </c>
      <c r="AI30" s="107">
        <v>1.417027E-2</v>
      </c>
      <c r="AJ30" s="107">
        <v>1.417027E-2</v>
      </c>
      <c r="AK30" s="107">
        <v>20.906934660000001</v>
      </c>
      <c r="AL30" s="107">
        <v>29.14204462</v>
      </c>
      <c r="AM30" s="107">
        <v>29.142045</v>
      </c>
      <c r="AN30" s="107">
        <v>29.142045</v>
      </c>
      <c r="AO30" s="107">
        <v>24.77231403</v>
      </c>
      <c r="AP30" s="107">
        <v>24.772314000000001</v>
      </c>
      <c r="AQ30" s="107">
        <v>24.772314000000001</v>
      </c>
      <c r="AR30" s="107">
        <v>29.283446210000001</v>
      </c>
      <c r="AS30" s="107">
        <v>28.77813093</v>
      </c>
      <c r="AT30" s="109">
        <v>1.8099999999999999E-5</v>
      </c>
      <c r="AU30" s="109">
        <v>1.7499999999999998E-5</v>
      </c>
      <c r="AV30" s="109">
        <v>2.3200000000000001E-5</v>
      </c>
      <c r="AW30" s="109">
        <v>2.09E-5</v>
      </c>
      <c r="AX30" s="109">
        <v>9.2099999999999999E-6</v>
      </c>
      <c r="AY30" s="109">
        <v>9.2099999999999999E-6</v>
      </c>
      <c r="AZ30" s="107">
        <v>1.1896978000000001E-2</v>
      </c>
      <c r="BA30" s="107">
        <v>7.138187E-2</v>
      </c>
      <c r="BB30" s="107">
        <v>7.1381899999999998E-2</v>
      </c>
      <c r="BC30" s="107">
        <v>7.1381899999999998E-2</v>
      </c>
      <c r="BD30" s="107">
        <v>7.138187E-2</v>
      </c>
      <c r="BE30" s="107">
        <v>7.1381899999999998E-2</v>
      </c>
      <c r="BF30" s="107">
        <v>7.1381899999999998E-2</v>
      </c>
      <c r="BG30" s="107">
        <v>7.138187E-2</v>
      </c>
      <c r="BH30" s="107">
        <v>7.138187E-2</v>
      </c>
      <c r="BI30" s="107">
        <v>2.480229E-3</v>
      </c>
      <c r="BJ30" s="107">
        <v>2.2492419999999998E-3</v>
      </c>
      <c r="BK30" s="107">
        <v>3.045056E-3</v>
      </c>
      <c r="BL30" s="107">
        <v>2.71828E-3</v>
      </c>
      <c r="BM30" s="107">
        <v>1.314623E-3</v>
      </c>
      <c r="BN30" s="107">
        <v>1.314623E-3</v>
      </c>
      <c r="BO30" s="107">
        <v>5.4127180000000004E-3</v>
      </c>
      <c r="BP30" s="107">
        <v>1.6238155000000001E-2</v>
      </c>
      <c r="BQ30" s="107">
        <v>1.6238200000000001E-2</v>
      </c>
      <c r="BR30" s="107">
        <v>1.6238200000000001E-2</v>
      </c>
      <c r="BS30" s="107">
        <v>1.6238155000000001E-2</v>
      </c>
      <c r="BT30" s="107">
        <v>1.6238200000000001E-2</v>
      </c>
      <c r="BU30" s="107">
        <v>1.6238200000000001E-2</v>
      </c>
      <c r="BV30" s="107">
        <v>1.6238155000000001E-2</v>
      </c>
      <c r="BW30" s="107">
        <v>1.6238155000000001E-2</v>
      </c>
    </row>
    <row r="31" spans="1:75" x14ac:dyDescent="0.25">
      <c r="A31" s="107">
        <v>30</v>
      </c>
      <c r="B31" s="108">
        <v>0.08</v>
      </c>
      <c r="C31" s="108">
        <v>0.06</v>
      </c>
      <c r="D31" s="108">
        <v>0.08</v>
      </c>
      <c r="E31" s="108">
        <v>0.06</v>
      </c>
      <c r="F31" s="108">
        <v>0.05</v>
      </c>
      <c r="G31" s="108">
        <v>0.05</v>
      </c>
      <c r="H31" s="108">
        <v>81.709999999999994</v>
      </c>
      <c r="I31" s="108">
        <v>17.100000000000001</v>
      </c>
      <c r="J31" s="108">
        <v>0</v>
      </c>
      <c r="K31" s="108">
        <v>0</v>
      </c>
      <c r="L31" s="108">
        <v>4.68</v>
      </c>
      <c r="M31" s="108">
        <v>31.29</v>
      </c>
      <c r="N31" s="108">
        <v>20.55</v>
      </c>
      <c r="O31" s="108">
        <v>20.34</v>
      </c>
      <c r="P31" s="108">
        <v>33.229999999999997</v>
      </c>
      <c r="Q31" s="108">
        <v>29.95</v>
      </c>
      <c r="R31" s="108">
        <v>33.93</v>
      </c>
      <c r="S31" s="108">
        <v>33.130000000000003</v>
      </c>
      <c r="T31" s="108">
        <v>23.79</v>
      </c>
      <c r="U31" s="108">
        <v>0.02</v>
      </c>
      <c r="V31" s="108">
        <v>0.25</v>
      </c>
      <c r="W31" s="108">
        <v>0.17</v>
      </c>
      <c r="X31" s="108">
        <v>0.09</v>
      </c>
      <c r="Y31" s="108">
        <v>12.35</v>
      </c>
      <c r="Z31" s="108">
        <v>12.92</v>
      </c>
      <c r="AA31" s="108">
        <v>9.61</v>
      </c>
      <c r="AB31" s="108">
        <v>31.29</v>
      </c>
      <c r="AC31" s="108">
        <v>20.55</v>
      </c>
      <c r="AD31" s="108">
        <v>20.34</v>
      </c>
      <c r="AE31" s="107">
        <v>2.6914777000000001E-2</v>
      </c>
      <c r="AF31" s="107">
        <v>2.5706768000000001E-2</v>
      </c>
      <c r="AG31" s="107">
        <v>3.3554617000000002E-2</v>
      </c>
      <c r="AH31" s="107">
        <v>2.9965821E-2</v>
      </c>
      <c r="AI31" s="107">
        <v>1.417027E-2</v>
      </c>
      <c r="AJ31" s="107">
        <v>1.417027E-2</v>
      </c>
      <c r="AK31" s="107">
        <v>20.906934660000001</v>
      </c>
      <c r="AL31" s="107">
        <v>29.14204462</v>
      </c>
      <c r="AM31" s="107">
        <v>29.142045</v>
      </c>
      <c r="AN31" s="107">
        <v>29.142045</v>
      </c>
      <c r="AO31" s="107">
        <v>24.77231403</v>
      </c>
      <c r="AP31" s="107">
        <v>24.772314000000001</v>
      </c>
      <c r="AQ31" s="107">
        <v>24.772314000000001</v>
      </c>
      <c r="AR31" s="107">
        <v>29.283446210000001</v>
      </c>
      <c r="AS31" s="107">
        <v>28.77813093</v>
      </c>
      <c r="AT31" s="109">
        <v>1.8099999999999999E-5</v>
      </c>
      <c r="AU31" s="109">
        <v>1.7499999999999998E-5</v>
      </c>
      <c r="AV31" s="109">
        <v>2.3200000000000001E-5</v>
      </c>
      <c r="AW31" s="109">
        <v>2.09E-5</v>
      </c>
      <c r="AX31" s="109">
        <v>9.2099999999999999E-6</v>
      </c>
      <c r="AY31" s="109">
        <v>9.2099999999999999E-6</v>
      </c>
      <c r="AZ31" s="107">
        <v>1.1896978000000001E-2</v>
      </c>
      <c r="BA31" s="107">
        <v>7.138187E-2</v>
      </c>
      <c r="BB31" s="107">
        <v>7.1381899999999998E-2</v>
      </c>
      <c r="BC31" s="107">
        <v>7.1381899999999998E-2</v>
      </c>
      <c r="BD31" s="107">
        <v>7.138187E-2</v>
      </c>
      <c r="BE31" s="107">
        <v>7.1381899999999998E-2</v>
      </c>
      <c r="BF31" s="107">
        <v>7.1381899999999998E-2</v>
      </c>
      <c r="BG31" s="107">
        <v>7.138187E-2</v>
      </c>
      <c r="BH31" s="107">
        <v>7.138187E-2</v>
      </c>
      <c r="BI31" s="107">
        <v>2.480229E-3</v>
      </c>
      <c r="BJ31" s="107">
        <v>2.2492419999999998E-3</v>
      </c>
      <c r="BK31" s="107">
        <v>3.045056E-3</v>
      </c>
      <c r="BL31" s="107">
        <v>2.71828E-3</v>
      </c>
      <c r="BM31" s="107">
        <v>1.314623E-3</v>
      </c>
      <c r="BN31" s="107">
        <v>1.314623E-3</v>
      </c>
      <c r="BO31" s="107">
        <v>5.4127180000000004E-3</v>
      </c>
      <c r="BP31" s="107">
        <v>1.6238155000000001E-2</v>
      </c>
      <c r="BQ31" s="107">
        <v>1.6238200000000001E-2</v>
      </c>
      <c r="BR31" s="107">
        <v>1.6238200000000001E-2</v>
      </c>
      <c r="BS31" s="107">
        <v>1.6238155000000001E-2</v>
      </c>
      <c r="BT31" s="107">
        <v>1.6238200000000001E-2</v>
      </c>
      <c r="BU31" s="107">
        <v>1.6238200000000001E-2</v>
      </c>
      <c r="BV31" s="107">
        <v>1.6238155000000001E-2</v>
      </c>
      <c r="BW31" s="107">
        <v>1.6238155000000001E-2</v>
      </c>
    </row>
    <row r="32" spans="1:75" x14ac:dyDescent="0.25">
      <c r="A32" s="107">
        <v>31</v>
      </c>
      <c r="B32" s="108">
        <v>0.08</v>
      </c>
      <c r="C32" s="108">
        <v>0.06</v>
      </c>
      <c r="D32" s="108">
        <v>0.08</v>
      </c>
      <c r="E32" s="108">
        <v>0.06</v>
      </c>
      <c r="F32" s="108">
        <v>0.05</v>
      </c>
      <c r="G32" s="108">
        <v>0.05</v>
      </c>
      <c r="H32" s="108">
        <v>81.709999999999994</v>
      </c>
      <c r="I32" s="108">
        <v>17.100000000000001</v>
      </c>
      <c r="J32" s="108">
        <v>0</v>
      </c>
      <c r="K32" s="108">
        <v>0</v>
      </c>
      <c r="L32" s="108">
        <v>4.68</v>
      </c>
      <c r="M32" s="108">
        <v>31.29</v>
      </c>
      <c r="N32" s="108">
        <v>20.55</v>
      </c>
      <c r="O32" s="108">
        <v>20.34</v>
      </c>
      <c r="P32" s="108">
        <v>33.229999999999997</v>
      </c>
      <c r="Q32" s="108">
        <v>29.95</v>
      </c>
      <c r="R32" s="108">
        <v>33.93</v>
      </c>
      <c r="S32" s="108">
        <v>33.130000000000003</v>
      </c>
      <c r="T32" s="108">
        <v>23.79</v>
      </c>
      <c r="U32" s="108">
        <v>0.02</v>
      </c>
      <c r="V32" s="108">
        <v>0.25</v>
      </c>
      <c r="W32" s="108">
        <v>0.17</v>
      </c>
      <c r="X32" s="108">
        <v>0.09</v>
      </c>
      <c r="Y32" s="108">
        <v>12.35</v>
      </c>
      <c r="Z32" s="108">
        <v>12.92</v>
      </c>
      <c r="AA32" s="108">
        <v>9.61</v>
      </c>
      <c r="AB32" s="108">
        <v>31.29</v>
      </c>
      <c r="AC32" s="108">
        <v>20.55</v>
      </c>
      <c r="AD32" s="108">
        <v>20.34</v>
      </c>
      <c r="AE32" s="107">
        <v>2.6914777000000001E-2</v>
      </c>
      <c r="AF32" s="107">
        <v>2.5706768000000001E-2</v>
      </c>
      <c r="AG32" s="107">
        <v>3.3554617000000002E-2</v>
      </c>
      <c r="AH32" s="107">
        <v>2.9965821E-2</v>
      </c>
      <c r="AI32" s="107">
        <v>1.417027E-2</v>
      </c>
      <c r="AJ32" s="107">
        <v>1.417027E-2</v>
      </c>
      <c r="AK32" s="107">
        <v>20.906934660000001</v>
      </c>
      <c r="AL32" s="107">
        <v>29.14204462</v>
      </c>
      <c r="AM32" s="107">
        <v>29.142045</v>
      </c>
      <c r="AN32" s="107">
        <v>29.142045</v>
      </c>
      <c r="AO32" s="107">
        <v>24.77231403</v>
      </c>
      <c r="AP32" s="107">
        <v>24.772314000000001</v>
      </c>
      <c r="AQ32" s="107">
        <v>24.772314000000001</v>
      </c>
      <c r="AR32" s="107">
        <v>29.283446210000001</v>
      </c>
      <c r="AS32" s="107">
        <v>28.77813093</v>
      </c>
      <c r="AT32" s="109">
        <v>1.8099999999999999E-5</v>
      </c>
      <c r="AU32" s="109">
        <v>1.7499999999999998E-5</v>
      </c>
      <c r="AV32" s="109">
        <v>2.3200000000000001E-5</v>
      </c>
      <c r="AW32" s="109">
        <v>2.09E-5</v>
      </c>
      <c r="AX32" s="109">
        <v>9.2099999999999999E-6</v>
      </c>
      <c r="AY32" s="109">
        <v>9.2099999999999999E-6</v>
      </c>
      <c r="AZ32" s="107">
        <v>1.1896978000000001E-2</v>
      </c>
      <c r="BA32" s="107">
        <v>7.138187E-2</v>
      </c>
      <c r="BB32" s="107">
        <v>7.1381899999999998E-2</v>
      </c>
      <c r="BC32" s="107">
        <v>7.1381899999999998E-2</v>
      </c>
      <c r="BD32" s="107">
        <v>7.138187E-2</v>
      </c>
      <c r="BE32" s="107">
        <v>7.1381899999999998E-2</v>
      </c>
      <c r="BF32" s="107">
        <v>7.1381899999999998E-2</v>
      </c>
      <c r="BG32" s="107">
        <v>7.138187E-2</v>
      </c>
      <c r="BH32" s="107">
        <v>7.138187E-2</v>
      </c>
      <c r="BI32" s="107">
        <v>2.480229E-3</v>
      </c>
      <c r="BJ32" s="107">
        <v>2.2492419999999998E-3</v>
      </c>
      <c r="BK32" s="107">
        <v>3.045056E-3</v>
      </c>
      <c r="BL32" s="107">
        <v>2.71828E-3</v>
      </c>
      <c r="BM32" s="107">
        <v>1.314623E-3</v>
      </c>
      <c r="BN32" s="107">
        <v>1.314623E-3</v>
      </c>
      <c r="BO32" s="107">
        <v>5.4127180000000004E-3</v>
      </c>
      <c r="BP32" s="107">
        <v>1.6238155000000001E-2</v>
      </c>
      <c r="BQ32" s="107">
        <v>1.6238200000000001E-2</v>
      </c>
      <c r="BR32" s="107">
        <v>1.6238200000000001E-2</v>
      </c>
      <c r="BS32" s="107">
        <v>1.6238155000000001E-2</v>
      </c>
      <c r="BT32" s="107">
        <v>1.6238200000000001E-2</v>
      </c>
      <c r="BU32" s="107">
        <v>1.6238200000000001E-2</v>
      </c>
      <c r="BV32" s="107">
        <v>1.6238155000000001E-2</v>
      </c>
      <c r="BW32" s="107">
        <v>1.6238155000000001E-2</v>
      </c>
    </row>
    <row r="33" spans="1:75" x14ac:dyDescent="0.25">
      <c r="A33" s="107">
        <v>32</v>
      </c>
      <c r="B33" s="108">
        <v>0.08</v>
      </c>
      <c r="C33" s="108">
        <v>0.06</v>
      </c>
      <c r="D33" s="108">
        <v>0.08</v>
      </c>
      <c r="E33" s="108">
        <v>0.06</v>
      </c>
      <c r="F33" s="108">
        <v>0.05</v>
      </c>
      <c r="G33" s="108">
        <v>0.05</v>
      </c>
      <c r="H33" s="108">
        <v>81.709999999999994</v>
      </c>
      <c r="I33" s="108">
        <v>17.100000000000001</v>
      </c>
      <c r="J33" s="108">
        <v>0</v>
      </c>
      <c r="K33" s="108">
        <v>0</v>
      </c>
      <c r="L33" s="108">
        <v>4.68</v>
      </c>
      <c r="M33" s="108">
        <v>31.29</v>
      </c>
      <c r="N33" s="108">
        <v>20.55</v>
      </c>
      <c r="O33" s="108">
        <v>20.34</v>
      </c>
      <c r="P33" s="108">
        <v>33.229999999999997</v>
      </c>
      <c r="Q33" s="108">
        <v>29.95</v>
      </c>
      <c r="R33" s="108">
        <v>33.93</v>
      </c>
      <c r="S33" s="108">
        <v>33.130000000000003</v>
      </c>
      <c r="T33" s="108">
        <v>23.79</v>
      </c>
      <c r="U33" s="108">
        <v>0.02</v>
      </c>
      <c r="V33" s="108">
        <v>0.25</v>
      </c>
      <c r="W33" s="108">
        <v>0.17</v>
      </c>
      <c r="X33" s="108">
        <v>0.09</v>
      </c>
      <c r="Y33" s="108">
        <v>12.35</v>
      </c>
      <c r="Z33" s="108">
        <v>12.92</v>
      </c>
      <c r="AA33" s="108">
        <v>9.61</v>
      </c>
      <c r="AB33" s="108">
        <v>31.29</v>
      </c>
      <c r="AC33" s="108">
        <v>20.55</v>
      </c>
      <c r="AD33" s="108">
        <v>20.34</v>
      </c>
      <c r="AE33" s="107">
        <v>2.6914777000000001E-2</v>
      </c>
      <c r="AF33" s="107">
        <v>2.5706768000000001E-2</v>
      </c>
      <c r="AG33" s="107">
        <v>3.3554617000000002E-2</v>
      </c>
      <c r="AH33" s="107">
        <v>2.9965821E-2</v>
      </c>
      <c r="AI33" s="107">
        <v>1.417027E-2</v>
      </c>
      <c r="AJ33" s="107">
        <v>1.417027E-2</v>
      </c>
      <c r="AK33" s="107">
        <v>20.906934660000001</v>
      </c>
      <c r="AL33" s="107">
        <v>29.14204462</v>
      </c>
      <c r="AM33" s="107">
        <v>29.142045</v>
      </c>
      <c r="AN33" s="107">
        <v>29.142045</v>
      </c>
      <c r="AO33" s="107">
        <v>24.77231403</v>
      </c>
      <c r="AP33" s="107">
        <v>24.772314000000001</v>
      </c>
      <c r="AQ33" s="107">
        <v>24.772314000000001</v>
      </c>
      <c r="AR33" s="107">
        <v>29.283446210000001</v>
      </c>
      <c r="AS33" s="107">
        <v>28.77813093</v>
      </c>
      <c r="AT33" s="109">
        <v>1.8099999999999999E-5</v>
      </c>
      <c r="AU33" s="109">
        <v>1.7499999999999998E-5</v>
      </c>
      <c r="AV33" s="109">
        <v>2.3200000000000001E-5</v>
      </c>
      <c r="AW33" s="109">
        <v>2.09E-5</v>
      </c>
      <c r="AX33" s="109">
        <v>9.2099999999999999E-6</v>
      </c>
      <c r="AY33" s="109">
        <v>9.2099999999999999E-6</v>
      </c>
      <c r="AZ33" s="107">
        <v>1.1896978000000001E-2</v>
      </c>
      <c r="BA33" s="107">
        <v>7.138187E-2</v>
      </c>
      <c r="BB33" s="107">
        <v>7.1381899999999998E-2</v>
      </c>
      <c r="BC33" s="107">
        <v>7.1381899999999998E-2</v>
      </c>
      <c r="BD33" s="107">
        <v>7.138187E-2</v>
      </c>
      <c r="BE33" s="107">
        <v>7.1381899999999998E-2</v>
      </c>
      <c r="BF33" s="107">
        <v>7.1381899999999998E-2</v>
      </c>
      <c r="BG33" s="107">
        <v>7.138187E-2</v>
      </c>
      <c r="BH33" s="107">
        <v>7.138187E-2</v>
      </c>
      <c r="BI33" s="107">
        <v>2.480229E-3</v>
      </c>
      <c r="BJ33" s="107">
        <v>2.2492419999999998E-3</v>
      </c>
      <c r="BK33" s="107">
        <v>3.045056E-3</v>
      </c>
      <c r="BL33" s="107">
        <v>2.71828E-3</v>
      </c>
      <c r="BM33" s="107">
        <v>1.314623E-3</v>
      </c>
      <c r="BN33" s="107">
        <v>1.314623E-3</v>
      </c>
      <c r="BO33" s="107">
        <v>5.4127180000000004E-3</v>
      </c>
      <c r="BP33" s="107">
        <v>1.6238155000000001E-2</v>
      </c>
      <c r="BQ33" s="107">
        <v>1.6238200000000001E-2</v>
      </c>
      <c r="BR33" s="107">
        <v>1.6238200000000001E-2</v>
      </c>
      <c r="BS33" s="107">
        <v>1.6238155000000001E-2</v>
      </c>
      <c r="BT33" s="107">
        <v>1.6238200000000001E-2</v>
      </c>
      <c r="BU33" s="107">
        <v>1.6238200000000001E-2</v>
      </c>
      <c r="BV33" s="107">
        <v>1.6238155000000001E-2</v>
      </c>
      <c r="BW33" s="107">
        <v>1.6238155000000001E-2</v>
      </c>
    </row>
    <row r="34" spans="1:75" x14ac:dyDescent="0.25">
      <c r="A34" s="107">
        <v>33</v>
      </c>
      <c r="B34" s="108">
        <v>0.08</v>
      </c>
      <c r="C34" s="108">
        <v>0.06</v>
      </c>
      <c r="D34" s="108">
        <v>0.08</v>
      </c>
      <c r="E34" s="108">
        <v>0.06</v>
      </c>
      <c r="F34" s="108">
        <v>0.05</v>
      </c>
      <c r="G34" s="108">
        <v>0.05</v>
      </c>
      <c r="H34" s="108">
        <v>81.709999999999994</v>
      </c>
      <c r="I34" s="108">
        <v>17.100000000000001</v>
      </c>
      <c r="J34" s="108">
        <v>0</v>
      </c>
      <c r="K34" s="108">
        <v>0</v>
      </c>
      <c r="L34" s="108">
        <v>4.68</v>
      </c>
      <c r="M34" s="108">
        <v>31.29</v>
      </c>
      <c r="N34" s="108">
        <v>20.55</v>
      </c>
      <c r="O34" s="108">
        <v>20.34</v>
      </c>
      <c r="P34" s="108">
        <v>33.229999999999997</v>
      </c>
      <c r="Q34" s="108">
        <v>29.95</v>
      </c>
      <c r="R34" s="108">
        <v>33.93</v>
      </c>
      <c r="S34" s="108">
        <v>33.130000000000003</v>
      </c>
      <c r="T34" s="108">
        <v>23.79</v>
      </c>
      <c r="U34" s="108">
        <v>0.02</v>
      </c>
      <c r="V34" s="108">
        <v>0.25</v>
      </c>
      <c r="W34" s="108">
        <v>0.17</v>
      </c>
      <c r="X34" s="108">
        <v>0.09</v>
      </c>
      <c r="Y34" s="108">
        <v>12.35</v>
      </c>
      <c r="Z34" s="108">
        <v>12.92</v>
      </c>
      <c r="AA34" s="108">
        <v>9.61</v>
      </c>
      <c r="AB34" s="108">
        <v>31.29</v>
      </c>
      <c r="AC34" s="108">
        <v>20.55</v>
      </c>
      <c r="AD34" s="108">
        <v>20.34</v>
      </c>
      <c r="AE34" s="107">
        <v>2.6914777000000001E-2</v>
      </c>
      <c r="AF34" s="107">
        <v>2.5706768000000001E-2</v>
      </c>
      <c r="AG34" s="107">
        <v>3.3554617000000002E-2</v>
      </c>
      <c r="AH34" s="107">
        <v>2.9965821E-2</v>
      </c>
      <c r="AI34" s="107">
        <v>1.417027E-2</v>
      </c>
      <c r="AJ34" s="107">
        <v>1.417027E-2</v>
      </c>
      <c r="AK34" s="107">
        <v>20.906934660000001</v>
      </c>
      <c r="AL34" s="107">
        <v>29.14204462</v>
      </c>
      <c r="AM34" s="107">
        <v>29.142045</v>
      </c>
      <c r="AN34" s="107">
        <v>29.142045</v>
      </c>
      <c r="AO34" s="107">
        <v>24.77231403</v>
      </c>
      <c r="AP34" s="107">
        <v>24.772314000000001</v>
      </c>
      <c r="AQ34" s="107">
        <v>24.772314000000001</v>
      </c>
      <c r="AR34" s="107">
        <v>29.283446210000001</v>
      </c>
      <c r="AS34" s="107">
        <v>28.77813093</v>
      </c>
      <c r="AT34" s="109">
        <v>1.8099999999999999E-5</v>
      </c>
      <c r="AU34" s="109">
        <v>1.7499999999999998E-5</v>
      </c>
      <c r="AV34" s="109">
        <v>2.3200000000000001E-5</v>
      </c>
      <c r="AW34" s="109">
        <v>2.09E-5</v>
      </c>
      <c r="AX34" s="109">
        <v>9.2099999999999999E-6</v>
      </c>
      <c r="AY34" s="109">
        <v>9.2099999999999999E-6</v>
      </c>
      <c r="AZ34" s="107">
        <v>1.1896978000000001E-2</v>
      </c>
      <c r="BA34" s="107">
        <v>7.138187E-2</v>
      </c>
      <c r="BB34" s="107">
        <v>7.1381899999999998E-2</v>
      </c>
      <c r="BC34" s="107">
        <v>7.1381899999999998E-2</v>
      </c>
      <c r="BD34" s="107">
        <v>7.138187E-2</v>
      </c>
      <c r="BE34" s="107">
        <v>7.1381899999999998E-2</v>
      </c>
      <c r="BF34" s="107">
        <v>7.1381899999999998E-2</v>
      </c>
      <c r="BG34" s="107">
        <v>7.138187E-2</v>
      </c>
      <c r="BH34" s="107">
        <v>7.138187E-2</v>
      </c>
      <c r="BI34" s="107">
        <v>2.480229E-3</v>
      </c>
      <c r="BJ34" s="107">
        <v>2.2492419999999998E-3</v>
      </c>
      <c r="BK34" s="107">
        <v>3.045056E-3</v>
      </c>
      <c r="BL34" s="107">
        <v>2.71828E-3</v>
      </c>
      <c r="BM34" s="107">
        <v>1.314623E-3</v>
      </c>
      <c r="BN34" s="107">
        <v>1.314623E-3</v>
      </c>
      <c r="BO34" s="107">
        <v>5.4127180000000004E-3</v>
      </c>
      <c r="BP34" s="107">
        <v>1.6238155000000001E-2</v>
      </c>
      <c r="BQ34" s="107">
        <v>1.6238200000000001E-2</v>
      </c>
      <c r="BR34" s="107">
        <v>1.6238200000000001E-2</v>
      </c>
      <c r="BS34" s="107">
        <v>1.6238155000000001E-2</v>
      </c>
      <c r="BT34" s="107">
        <v>1.6238200000000001E-2</v>
      </c>
      <c r="BU34" s="107">
        <v>1.6238200000000001E-2</v>
      </c>
      <c r="BV34" s="107">
        <v>1.6238155000000001E-2</v>
      </c>
      <c r="BW34" s="107">
        <v>1.6238155000000001E-2</v>
      </c>
    </row>
    <row r="35" spans="1:75" x14ac:dyDescent="0.25">
      <c r="A35" s="107">
        <v>34</v>
      </c>
      <c r="B35" s="108">
        <v>0.08</v>
      </c>
      <c r="C35" s="108">
        <v>0.06</v>
      </c>
      <c r="D35" s="108">
        <v>0.08</v>
      </c>
      <c r="E35" s="108">
        <v>0.06</v>
      </c>
      <c r="F35" s="108">
        <v>0.05</v>
      </c>
      <c r="G35" s="108">
        <v>0.05</v>
      </c>
      <c r="H35" s="108">
        <v>81.709999999999994</v>
      </c>
      <c r="I35" s="108">
        <v>17.100000000000001</v>
      </c>
      <c r="J35" s="108">
        <v>0</v>
      </c>
      <c r="K35" s="108">
        <v>0</v>
      </c>
      <c r="L35" s="108">
        <v>4.68</v>
      </c>
      <c r="M35" s="108">
        <v>31.29</v>
      </c>
      <c r="N35" s="108">
        <v>20.55</v>
      </c>
      <c r="O35" s="108">
        <v>20.34</v>
      </c>
      <c r="P35" s="108">
        <v>33.229999999999997</v>
      </c>
      <c r="Q35" s="108">
        <v>29.95</v>
      </c>
      <c r="R35" s="108">
        <v>33.93</v>
      </c>
      <c r="S35" s="108">
        <v>33.130000000000003</v>
      </c>
      <c r="T35" s="108">
        <v>23.79</v>
      </c>
      <c r="U35" s="108">
        <v>0.02</v>
      </c>
      <c r="V35" s="108">
        <v>0.25</v>
      </c>
      <c r="W35" s="108">
        <v>0.17</v>
      </c>
      <c r="X35" s="108">
        <v>0.09</v>
      </c>
      <c r="Y35" s="108">
        <v>12.35</v>
      </c>
      <c r="Z35" s="108">
        <v>12.92</v>
      </c>
      <c r="AA35" s="108">
        <v>9.61</v>
      </c>
      <c r="AB35" s="108">
        <v>31.29</v>
      </c>
      <c r="AC35" s="108">
        <v>20.55</v>
      </c>
      <c r="AD35" s="108">
        <v>20.34</v>
      </c>
      <c r="AE35" s="107">
        <v>2.6914777000000001E-2</v>
      </c>
      <c r="AF35" s="107">
        <v>2.5706768000000001E-2</v>
      </c>
      <c r="AG35" s="107">
        <v>3.3554617000000002E-2</v>
      </c>
      <c r="AH35" s="107">
        <v>2.9965821E-2</v>
      </c>
      <c r="AI35" s="107">
        <v>1.417027E-2</v>
      </c>
      <c r="AJ35" s="107">
        <v>1.417027E-2</v>
      </c>
      <c r="AK35" s="107">
        <v>20.906934660000001</v>
      </c>
      <c r="AL35" s="107">
        <v>29.14204462</v>
      </c>
      <c r="AM35" s="107">
        <v>29.142045</v>
      </c>
      <c r="AN35" s="107">
        <v>29.142045</v>
      </c>
      <c r="AO35" s="107">
        <v>24.77231403</v>
      </c>
      <c r="AP35" s="107">
        <v>24.772314000000001</v>
      </c>
      <c r="AQ35" s="107">
        <v>24.772314000000001</v>
      </c>
      <c r="AR35" s="107">
        <v>29.283446210000001</v>
      </c>
      <c r="AS35" s="107">
        <v>28.77813093</v>
      </c>
      <c r="AT35" s="109">
        <v>1.8099999999999999E-5</v>
      </c>
      <c r="AU35" s="109">
        <v>1.7499999999999998E-5</v>
      </c>
      <c r="AV35" s="109">
        <v>2.3200000000000001E-5</v>
      </c>
      <c r="AW35" s="109">
        <v>2.09E-5</v>
      </c>
      <c r="AX35" s="109">
        <v>9.2099999999999999E-6</v>
      </c>
      <c r="AY35" s="109">
        <v>9.2099999999999999E-6</v>
      </c>
      <c r="AZ35" s="107">
        <v>1.1896978000000001E-2</v>
      </c>
      <c r="BA35" s="107">
        <v>7.138187E-2</v>
      </c>
      <c r="BB35" s="107">
        <v>7.1381899999999998E-2</v>
      </c>
      <c r="BC35" s="107">
        <v>7.1381899999999998E-2</v>
      </c>
      <c r="BD35" s="107">
        <v>7.138187E-2</v>
      </c>
      <c r="BE35" s="107">
        <v>7.1381899999999998E-2</v>
      </c>
      <c r="BF35" s="107">
        <v>7.1381899999999998E-2</v>
      </c>
      <c r="BG35" s="107">
        <v>7.138187E-2</v>
      </c>
      <c r="BH35" s="107">
        <v>7.138187E-2</v>
      </c>
      <c r="BI35" s="107">
        <v>2.480229E-3</v>
      </c>
      <c r="BJ35" s="107">
        <v>2.2492419999999998E-3</v>
      </c>
      <c r="BK35" s="107">
        <v>3.045056E-3</v>
      </c>
      <c r="BL35" s="107">
        <v>2.71828E-3</v>
      </c>
      <c r="BM35" s="107">
        <v>1.314623E-3</v>
      </c>
      <c r="BN35" s="107">
        <v>1.314623E-3</v>
      </c>
      <c r="BO35" s="107">
        <v>5.4127180000000004E-3</v>
      </c>
      <c r="BP35" s="107">
        <v>1.6238155000000001E-2</v>
      </c>
      <c r="BQ35" s="107">
        <v>1.6238200000000001E-2</v>
      </c>
      <c r="BR35" s="107">
        <v>1.6238200000000001E-2</v>
      </c>
      <c r="BS35" s="107">
        <v>1.6238155000000001E-2</v>
      </c>
      <c r="BT35" s="107">
        <v>1.6238200000000001E-2</v>
      </c>
      <c r="BU35" s="107">
        <v>1.6238200000000001E-2</v>
      </c>
      <c r="BV35" s="107">
        <v>1.6238155000000001E-2</v>
      </c>
      <c r="BW35" s="107">
        <v>1.6238155000000001E-2</v>
      </c>
    </row>
    <row r="36" spans="1:75" x14ac:dyDescent="0.25">
      <c r="A36" s="107">
        <v>35</v>
      </c>
      <c r="B36" s="108">
        <v>0.08</v>
      </c>
      <c r="C36" s="108">
        <v>0.06</v>
      </c>
      <c r="D36" s="108">
        <v>0.08</v>
      </c>
      <c r="E36" s="108">
        <v>0.06</v>
      </c>
      <c r="F36" s="108">
        <v>0.05</v>
      </c>
      <c r="G36" s="108">
        <v>0.05</v>
      </c>
      <c r="H36" s="108">
        <v>81.709999999999994</v>
      </c>
      <c r="I36" s="108">
        <v>17.100000000000001</v>
      </c>
      <c r="J36" s="108">
        <v>0</v>
      </c>
      <c r="K36" s="108">
        <v>0</v>
      </c>
      <c r="L36" s="108">
        <v>4.68</v>
      </c>
      <c r="M36" s="108">
        <v>31.29</v>
      </c>
      <c r="N36" s="108">
        <v>20.55</v>
      </c>
      <c r="O36" s="108">
        <v>20.34</v>
      </c>
      <c r="P36" s="108">
        <v>33.229999999999997</v>
      </c>
      <c r="Q36" s="108">
        <v>29.95</v>
      </c>
      <c r="R36" s="108">
        <v>33.93</v>
      </c>
      <c r="S36" s="108">
        <v>33.130000000000003</v>
      </c>
      <c r="T36" s="108">
        <v>23.79</v>
      </c>
      <c r="U36" s="108">
        <v>0.02</v>
      </c>
      <c r="V36" s="108">
        <v>0.25</v>
      </c>
      <c r="W36" s="108">
        <v>0.17</v>
      </c>
      <c r="X36" s="108">
        <v>0.09</v>
      </c>
      <c r="Y36" s="108">
        <v>12.35</v>
      </c>
      <c r="Z36" s="108">
        <v>12.92</v>
      </c>
      <c r="AA36" s="108">
        <v>9.61</v>
      </c>
      <c r="AB36" s="108">
        <v>31.29</v>
      </c>
      <c r="AC36" s="108">
        <v>20.55</v>
      </c>
      <c r="AD36" s="108">
        <v>20.34</v>
      </c>
      <c r="AE36" s="107">
        <v>2.6914777000000001E-2</v>
      </c>
      <c r="AF36" s="107">
        <v>2.5706768000000001E-2</v>
      </c>
      <c r="AG36" s="107">
        <v>3.3554617000000002E-2</v>
      </c>
      <c r="AH36" s="107">
        <v>2.9965821E-2</v>
      </c>
      <c r="AI36" s="107">
        <v>1.417027E-2</v>
      </c>
      <c r="AJ36" s="107">
        <v>1.417027E-2</v>
      </c>
      <c r="AK36" s="107">
        <v>20.906934660000001</v>
      </c>
      <c r="AL36" s="107">
        <v>29.14204462</v>
      </c>
      <c r="AM36" s="107">
        <v>29.142045</v>
      </c>
      <c r="AN36" s="107">
        <v>29.142045</v>
      </c>
      <c r="AO36" s="107">
        <v>24.77231403</v>
      </c>
      <c r="AP36" s="107">
        <v>24.772314000000001</v>
      </c>
      <c r="AQ36" s="107">
        <v>24.772314000000001</v>
      </c>
      <c r="AR36" s="107">
        <v>29.283446210000001</v>
      </c>
      <c r="AS36" s="107">
        <v>28.77813093</v>
      </c>
      <c r="AT36" s="109">
        <v>1.8099999999999999E-5</v>
      </c>
      <c r="AU36" s="109">
        <v>1.7499999999999998E-5</v>
      </c>
      <c r="AV36" s="109">
        <v>2.3200000000000001E-5</v>
      </c>
      <c r="AW36" s="109">
        <v>2.09E-5</v>
      </c>
      <c r="AX36" s="109">
        <v>9.2099999999999999E-6</v>
      </c>
      <c r="AY36" s="109">
        <v>9.2099999999999999E-6</v>
      </c>
      <c r="AZ36" s="107">
        <v>1.1896978000000001E-2</v>
      </c>
      <c r="BA36" s="107">
        <v>7.138187E-2</v>
      </c>
      <c r="BB36" s="107">
        <v>7.1381899999999998E-2</v>
      </c>
      <c r="BC36" s="107">
        <v>7.1381899999999998E-2</v>
      </c>
      <c r="BD36" s="107">
        <v>7.138187E-2</v>
      </c>
      <c r="BE36" s="107">
        <v>7.1381899999999998E-2</v>
      </c>
      <c r="BF36" s="107">
        <v>7.1381899999999998E-2</v>
      </c>
      <c r="BG36" s="107">
        <v>7.138187E-2</v>
      </c>
      <c r="BH36" s="107">
        <v>7.138187E-2</v>
      </c>
      <c r="BI36" s="107">
        <v>2.480229E-3</v>
      </c>
      <c r="BJ36" s="107">
        <v>2.2492419999999998E-3</v>
      </c>
      <c r="BK36" s="107">
        <v>3.045056E-3</v>
      </c>
      <c r="BL36" s="107">
        <v>2.71828E-3</v>
      </c>
      <c r="BM36" s="107">
        <v>1.314623E-3</v>
      </c>
      <c r="BN36" s="107">
        <v>1.314623E-3</v>
      </c>
      <c r="BO36" s="107">
        <v>5.4127180000000004E-3</v>
      </c>
      <c r="BP36" s="107">
        <v>1.6238155000000001E-2</v>
      </c>
      <c r="BQ36" s="107">
        <v>1.6238200000000001E-2</v>
      </c>
      <c r="BR36" s="107">
        <v>1.6238200000000001E-2</v>
      </c>
      <c r="BS36" s="107">
        <v>1.6238155000000001E-2</v>
      </c>
      <c r="BT36" s="107">
        <v>1.6238200000000001E-2</v>
      </c>
      <c r="BU36" s="107">
        <v>1.6238200000000001E-2</v>
      </c>
      <c r="BV36" s="107">
        <v>1.6238155000000001E-2</v>
      </c>
      <c r="BW36" s="107">
        <v>1.6238155000000001E-2</v>
      </c>
    </row>
    <row r="37" spans="1:75" x14ac:dyDescent="0.25">
      <c r="A37" s="107">
        <v>36</v>
      </c>
      <c r="B37" s="108">
        <v>0.08</v>
      </c>
      <c r="C37" s="108">
        <v>0.06</v>
      </c>
      <c r="D37" s="108">
        <v>0.08</v>
      </c>
      <c r="E37" s="108">
        <v>0.06</v>
      </c>
      <c r="F37" s="108">
        <v>0.05</v>
      </c>
      <c r="G37" s="108">
        <v>0.05</v>
      </c>
      <c r="H37" s="108">
        <v>81.709999999999994</v>
      </c>
      <c r="I37" s="108">
        <v>17.100000000000001</v>
      </c>
      <c r="J37" s="108">
        <v>0</v>
      </c>
      <c r="K37" s="108">
        <v>0</v>
      </c>
      <c r="L37" s="108">
        <v>4.68</v>
      </c>
      <c r="M37" s="108">
        <v>31.29</v>
      </c>
      <c r="N37" s="108">
        <v>20.55</v>
      </c>
      <c r="O37" s="108">
        <v>20.34</v>
      </c>
      <c r="P37" s="108">
        <v>33.229999999999997</v>
      </c>
      <c r="Q37" s="108">
        <v>29.95</v>
      </c>
      <c r="R37" s="108">
        <v>33.93</v>
      </c>
      <c r="S37" s="108">
        <v>33.130000000000003</v>
      </c>
      <c r="T37" s="108">
        <v>23.79</v>
      </c>
      <c r="U37" s="108">
        <v>0.02</v>
      </c>
      <c r="V37" s="108">
        <v>0.25</v>
      </c>
      <c r="W37" s="108">
        <v>0.17</v>
      </c>
      <c r="X37" s="108">
        <v>0.09</v>
      </c>
      <c r="Y37" s="108">
        <v>12.35</v>
      </c>
      <c r="Z37" s="108">
        <v>12.92</v>
      </c>
      <c r="AA37" s="108">
        <v>9.61</v>
      </c>
      <c r="AB37" s="108">
        <v>31.29</v>
      </c>
      <c r="AC37" s="108">
        <v>20.55</v>
      </c>
      <c r="AD37" s="108">
        <v>20.34</v>
      </c>
      <c r="AE37" s="107">
        <v>2.6914777000000001E-2</v>
      </c>
      <c r="AF37" s="107">
        <v>2.5706768000000001E-2</v>
      </c>
      <c r="AG37" s="107">
        <v>3.3554617000000002E-2</v>
      </c>
      <c r="AH37" s="107">
        <v>2.9965821E-2</v>
      </c>
      <c r="AI37" s="107">
        <v>1.417027E-2</v>
      </c>
      <c r="AJ37" s="107">
        <v>1.417027E-2</v>
      </c>
      <c r="AK37" s="107">
        <v>20.906934660000001</v>
      </c>
      <c r="AL37" s="107">
        <v>29.14204462</v>
      </c>
      <c r="AM37" s="107">
        <v>29.142045</v>
      </c>
      <c r="AN37" s="107">
        <v>29.142045</v>
      </c>
      <c r="AO37" s="107">
        <v>24.77231403</v>
      </c>
      <c r="AP37" s="107">
        <v>24.772314000000001</v>
      </c>
      <c r="AQ37" s="107">
        <v>24.772314000000001</v>
      </c>
      <c r="AR37" s="107">
        <v>29.283446210000001</v>
      </c>
      <c r="AS37" s="107">
        <v>28.77813093</v>
      </c>
      <c r="AT37" s="109">
        <v>1.8099999999999999E-5</v>
      </c>
      <c r="AU37" s="109">
        <v>1.7499999999999998E-5</v>
      </c>
      <c r="AV37" s="109">
        <v>2.3200000000000001E-5</v>
      </c>
      <c r="AW37" s="109">
        <v>2.09E-5</v>
      </c>
      <c r="AX37" s="109">
        <v>9.2099999999999999E-6</v>
      </c>
      <c r="AY37" s="109">
        <v>9.2099999999999999E-6</v>
      </c>
      <c r="AZ37" s="107">
        <v>1.1896978000000001E-2</v>
      </c>
      <c r="BA37" s="107">
        <v>7.138187E-2</v>
      </c>
      <c r="BB37" s="107">
        <v>7.1381899999999998E-2</v>
      </c>
      <c r="BC37" s="107">
        <v>7.1381899999999998E-2</v>
      </c>
      <c r="BD37" s="107">
        <v>7.138187E-2</v>
      </c>
      <c r="BE37" s="107">
        <v>7.1381899999999998E-2</v>
      </c>
      <c r="BF37" s="107">
        <v>7.1381899999999998E-2</v>
      </c>
      <c r="BG37" s="107">
        <v>7.138187E-2</v>
      </c>
      <c r="BH37" s="107">
        <v>7.138187E-2</v>
      </c>
      <c r="BI37" s="107">
        <v>2.480229E-3</v>
      </c>
      <c r="BJ37" s="107">
        <v>2.2492419999999998E-3</v>
      </c>
      <c r="BK37" s="107">
        <v>3.045056E-3</v>
      </c>
      <c r="BL37" s="107">
        <v>2.71828E-3</v>
      </c>
      <c r="BM37" s="107">
        <v>1.314623E-3</v>
      </c>
      <c r="BN37" s="107">
        <v>1.314623E-3</v>
      </c>
      <c r="BO37" s="107">
        <v>5.4127180000000004E-3</v>
      </c>
      <c r="BP37" s="107">
        <v>1.6238155000000001E-2</v>
      </c>
      <c r="BQ37" s="107">
        <v>1.6238200000000001E-2</v>
      </c>
      <c r="BR37" s="107">
        <v>1.6238200000000001E-2</v>
      </c>
      <c r="BS37" s="107">
        <v>1.6238155000000001E-2</v>
      </c>
      <c r="BT37" s="107">
        <v>1.6238200000000001E-2</v>
      </c>
      <c r="BU37" s="107">
        <v>1.6238200000000001E-2</v>
      </c>
      <c r="BV37" s="107">
        <v>1.6238155000000001E-2</v>
      </c>
      <c r="BW37" s="107">
        <v>1.6238155000000001E-2</v>
      </c>
    </row>
    <row r="38" spans="1:75" x14ac:dyDescent="0.25">
      <c r="A38" s="107">
        <v>37</v>
      </c>
      <c r="B38" s="108">
        <v>0.08</v>
      </c>
      <c r="C38" s="108">
        <v>0.06</v>
      </c>
      <c r="D38" s="108">
        <v>0.08</v>
      </c>
      <c r="E38" s="108">
        <v>0.06</v>
      </c>
      <c r="F38" s="108">
        <v>0.05</v>
      </c>
      <c r="G38" s="108">
        <v>0.05</v>
      </c>
      <c r="H38" s="108">
        <v>81.709999999999994</v>
      </c>
      <c r="I38" s="108">
        <v>17.100000000000001</v>
      </c>
      <c r="J38" s="108">
        <v>0</v>
      </c>
      <c r="K38" s="108">
        <v>0</v>
      </c>
      <c r="L38" s="108">
        <v>4.68</v>
      </c>
      <c r="M38" s="108">
        <v>31.29</v>
      </c>
      <c r="N38" s="108">
        <v>20.55</v>
      </c>
      <c r="O38" s="108">
        <v>20.34</v>
      </c>
      <c r="P38" s="108">
        <v>33.229999999999997</v>
      </c>
      <c r="Q38" s="108">
        <v>29.95</v>
      </c>
      <c r="R38" s="108">
        <v>33.93</v>
      </c>
      <c r="S38" s="108">
        <v>33.130000000000003</v>
      </c>
      <c r="T38" s="108">
        <v>23.79</v>
      </c>
      <c r="U38" s="108">
        <v>0.02</v>
      </c>
      <c r="V38" s="108">
        <v>0.25</v>
      </c>
      <c r="W38" s="108">
        <v>0.17</v>
      </c>
      <c r="X38" s="108">
        <v>0.09</v>
      </c>
      <c r="Y38" s="108">
        <v>12.35</v>
      </c>
      <c r="Z38" s="108">
        <v>12.92</v>
      </c>
      <c r="AA38" s="108">
        <v>9.61</v>
      </c>
      <c r="AB38" s="108">
        <v>31.29</v>
      </c>
      <c r="AC38" s="108">
        <v>20.55</v>
      </c>
      <c r="AD38" s="108">
        <v>20.34</v>
      </c>
      <c r="AE38" s="107">
        <v>2.6914777000000001E-2</v>
      </c>
      <c r="AF38" s="107">
        <v>2.5706768000000001E-2</v>
      </c>
      <c r="AG38" s="107">
        <v>3.3554617000000002E-2</v>
      </c>
      <c r="AH38" s="107">
        <v>2.9965821E-2</v>
      </c>
      <c r="AI38" s="107">
        <v>1.417027E-2</v>
      </c>
      <c r="AJ38" s="107">
        <v>1.417027E-2</v>
      </c>
      <c r="AK38" s="107">
        <v>20.906934660000001</v>
      </c>
      <c r="AL38" s="107">
        <v>29.14204462</v>
      </c>
      <c r="AM38" s="107">
        <v>29.142045</v>
      </c>
      <c r="AN38" s="107">
        <v>29.142045</v>
      </c>
      <c r="AO38" s="107">
        <v>24.77231403</v>
      </c>
      <c r="AP38" s="107">
        <v>24.772314000000001</v>
      </c>
      <c r="AQ38" s="107">
        <v>24.772314000000001</v>
      </c>
      <c r="AR38" s="107">
        <v>29.283446210000001</v>
      </c>
      <c r="AS38" s="107">
        <v>28.77813093</v>
      </c>
      <c r="AT38" s="109">
        <v>1.8099999999999999E-5</v>
      </c>
      <c r="AU38" s="109">
        <v>1.7499999999999998E-5</v>
      </c>
      <c r="AV38" s="109">
        <v>2.3200000000000001E-5</v>
      </c>
      <c r="AW38" s="109">
        <v>2.09E-5</v>
      </c>
      <c r="AX38" s="109">
        <v>9.2099999999999999E-6</v>
      </c>
      <c r="AY38" s="109">
        <v>9.2099999999999999E-6</v>
      </c>
      <c r="AZ38" s="107">
        <v>1.1896978000000001E-2</v>
      </c>
      <c r="BA38" s="107">
        <v>7.138187E-2</v>
      </c>
      <c r="BB38" s="107">
        <v>7.1381899999999998E-2</v>
      </c>
      <c r="BC38" s="107">
        <v>7.1381899999999998E-2</v>
      </c>
      <c r="BD38" s="107">
        <v>7.138187E-2</v>
      </c>
      <c r="BE38" s="107">
        <v>7.1381899999999998E-2</v>
      </c>
      <c r="BF38" s="107">
        <v>7.1381899999999998E-2</v>
      </c>
      <c r="BG38" s="107">
        <v>7.138187E-2</v>
      </c>
      <c r="BH38" s="107">
        <v>7.138187E-2</v>
      </c>
      <c r="BI38" s="107">
        <v>2.480229E-3</v>
      </c>
      <c r="BJ38" s="107">
        <v>2.2492419999999998E-3</v>
      </c>
      <c r="BK38" s="107">
        <v>3.045056E-3</v>
      </c>
      <c r="BL38" s="107">
        <v>2.71828E-3</v>
      </c>
      <c r="BM38" s="107">
        <v>1.314623E-3</v>
      </c>
      <c r="BN38" s="107">
        <v>1.314623E-3</v>
      </c>
      <c r="BO38" s="107">
        <v>5.4127180000000004E-3</v>
      </c>
      <c r="BP38" s="107">
        <v>1.6238155000000001E-2</v>
      </c>
      <c r="BQ38" s="107">
        <v>1.6238200000000001E-2</v>
      </c>
      <c r="BR38" s="107">
        <v>1.6238200000000001E-2</v>
      </c>
      <c r="BS38" s="107">
        <v>1.6238155000000001E-2</v>
      </c>
      <c r="BT38" s="107">
        <v>1.6238200000000001E-2</v>
      </c>
      <c r="BU38" s="107">
        <v>1.6238200000000001E-2</v>
      </c>
      <c r="BV38" s="107">
        <v>1.6238155000000001E-2</v>
      </c>
      <c r="BW38" s="107">
        <v>1.6238155000000001E-2</v>
      </c>
    </row>
    <row r="39" spans="1:75" x14ac:dyDescent="0.25">
      <c r="A39" s="107">
        <v>38</v>
      </c>
      <c r="B39" s="108">
        <v>0.08</v>
      </c>
      <c r="C39" s="108">
        <v>0.06</v>
      </c>
      <c r="D39" s="108">
        <v>0.08</v>
      </c>
      <c r="E39" s="108">
        <v>0.06</v>
      </c>
      <c r="F39" s="108">
        <v>0.05</v>
      </c>
      <c r="G39" s="108">
        <v>0.05</v>
      </c>
      <c r="H39" s="108">
        <v>81.709999999999994</v>
      </c>
      <c r="I39" s="108">
        <v>17.100000000000001</v>
      </c>
      <c r="J39" s="108">
        <v>0</v>
      </c>
      <c r="K39" s="108">
        <v>0</v>
      </c>
      <c r="L39" s="108">
        <v>4.68</v>
      </c>
      <c r="M39" s="108">
        <v>31.29</v>
      </c>
      <c r="N39" s="108">
        <v>20.55</v>
      </c>
      <c r="O39" s="108">
        <v>20.34</v>
      </c>
      <c r="P39" s="108">
        <v>33.229999999999997</v>
      </c>
      <c r="Q39" s="108">
        <v>29.95</v>
      </c>
      <c r="R39" s="108">
        <v>33.93</v>
      </c>
      <c r="S39" s="108">
        <v>33.130000000000003</v>
      </c>
      <c r="T39" s="108">
        <v>23.79</v>
      </c>
      <c r="U39" s="108">
        <v>0.02</v>
      </c>
      <c r="V39" s="108">
        <v>0.25</v>
      </c>
      <c r="W39" s="108">
        <v>0.17</v>
      </c>
      <c r="X39" s="108">
        <v>0.09</v>
      </c>
      <c r="Y39" s="108">
        <v>12.35</v>
      </c>
      <c r="Z39" s="108">
        <v>12.92</v>
      </c>
      <c r="AA39" s="108">
        <v>9.61</v>
      </c>
      <c r="AB39" s="108">
        <v>31.29</v>
      </c>
      <c r="AC39" s="108">
        <v>20.55</v>
      </c>
      <c r="AD39" s="108">
        <v>20.34</v>
      </c>
      <c r="AE39" s="107">
        <v>2.6914777000000001E-2</v>
      </c>
      <c r="AF39" s="107">
        <v>2.5706768000000001E-2</v>
      </c>
      <c r="AG39" s="107">
        <v>3.3554617000000002E-2</v>
      </c>
      <c r="AH39" s="107">
        <v>2.9965821E-2</v>
      </c>
      <c r="AI39" s="107">
        <v>1.417027E-2</v>
      </c>
      <c r="AJ39" s="107">
        <v>1.417027E-2</v>
      </c>
      <c r="AK39" s="107">
        <v>20.906934660000001</v>
      </c>
      <c r="AL39" s="107">
        <v>29.14204462</v>
      </c>
      <c r="AM39" s="107">
        <v>29.142045</v>
      </c>
      <c r="AN39" s="107">
        <v>29.142045</v>
      </c>
      <c r="AO39" s="107">
        <v>24.77231403</v>
      </c>
      <c r="AP39" s="107">
        <v>24.772314000000001</v>
      </c>
      <c r="AQ39" s="107">
        <v>24.772314000000001</v>
      </c>
      <c r="AR39" s="107">
        <v>29.283446210000001</v>
      </c>
      <c r="AS39" s="107">
        <v>28.77813093</v>
      </c>
      <c r="AT39" s="109">
        <v>1.8099999999999999E-5</v>
      </c>
      <c r="AU39" s="109">
        <v>1.7499999999999998E-5</v>
      </c>
      <c r="AV39" s="109">
        <v>2.3200000000000001E-5</v>
      </c>
      <c r="AW39" s="109">
        <v>2.09E-5</v>
      </c>
      <c r="AX39" s="109">
        <v>9.2099999999999999E-6</v>
      </c>
      <c r="AY39" s="109">
        <v>9.2099999999999999E-6</v>
      </c>
      <c r="AZ39" s="107">
        <v>1.1896978000000001E-2</v>
      </c>
      <c r="BA39" s="107">
        <v>7.138187E-2</v>
      </c>
      <c r="BB39" s="107">
        <v>7.1381899999999998E-2</v>
      </c>
      <c r="BC39" s="107">
        <v>7.1381899999999998E-2</v>
      </c>
      <c r="BD39" s="107">
        <v>7.138187E-2</v>
      </c>
      <c r="BE39" s="107">
        <v>7.1381899999999998E-2</v>
      </c>
      <c r="BF39" s="107">
        <v>7.1381899999999998E-2</v>
      </c>
      <c r="BG39" s="107">
        <v>7.138187E-2</v>
      </c>
      <c r="BH39" s="107">
        <v>7.138187E-2</v>
      </c>
      <c r="BI39" s="107">
        <v>2.480229E-3</v>
      </c>
      <c r="BJ39" s="107">
        <v>2.2492419999999998E-3</v>
      </c>
      <c r="BK39" s="107">
        <v>3.045056E-3</v>
      </c>
      <c r="BL39" s="107">
        <v>2.71828E-3</v>
      </c>
      <c r="BM39" s="107">
        <v>1.314623E-3</v>
      </c>
      <c r="BN39" s="107">
        <v>1.314623E-3</v>
      </c>
      <c r="BO39" s="107">
        <v>5.4127180000000004E-3</v>
      </c>
      <c r="BP39" s="107">
        <v>1.6238155000000001E-2</v>
      </c>
      <c r="BQ39" s="107">
        <v>1.6238200000000001E-2</v>
      </c>
      <c r="BR39" s="107">
        <v>1.6238200000000001E-2</v>
      </c>
      <c r="BS39" s="107">
        <v>1.6238155000000001E-2</v>
      </c>
      <c r="BT39" s="107">
        <v>1.6238200000000001E-2</v>
      </c>
      <c r="BU39" s="107">
        <v>1.6238200000000001E-2</v>
      </c>
      <c r="BV39" s="107">
        <v>1.6238155000000001E-2</v>
      </c>
      <c r="BW39" s="107">
        <v>1.6238155000000001E-2</v>
      </c>
    </row>
    <row r="40" spans="1:75" x14ac:dyDescent="0.25">
      <c r="A40" s="107">
        <v>39</v>
      </c>
      <c r="B40" s="108">
        <v>0.08</v>
      </c>
      <c r="C40" s="108">
        <v>0.06</v>
      </c>
      <c r="D40" s="108">
        <v>0.08</v>
      </c>
      <c r="E40" s="108">
        <v>0.06</v>
      </c>
      <c r="F40" s="108">
        <v>0.05</v>
      </c>
      <c r="G40" s="108">
        <v>0.05</v>
      </c>
      <c r="H40" s="108">
        <v>81.709999999999994</v>
      </c>
      <c r="I40" s="108">
        <v>17.100000000000001</v>
      </c>
      <c r="J40" s="108">
        <v>0</v>
      </c>
      <c r="K40" s="108">
        <v>0</v>
      </c>
      <c r="L40" s="108">
        <v>4.68</v>
      </c>
      <c r="M40" s="108">
        <v>31.29</v>
      </c>
      <c r="N40" s="108">
        <v>20.55</v>
      </c>
      <c r="O40" s="108">
        <v>20.34</v>
      </c>
      <c r="P40" s="108">
        <v>33.229999999999997</v>
      </c>
      <c r="Q40" s="108">
        <v>29.95</v>
      </c>
      <c r="R40" s="108">
        <v>33.93</v>
      </c>
      <c r="S40" s="108">
        <v>33.130000000000003</v>
      </c>
      <c r="T40" s="108">
        <v>23.79</v>
      </c>
      <c r="U40" s="108">
        <v>0.02</v>
      </c>
      <c r="V40" s="108">
        <v>0.25</v>
      </c>
      <c r="W40" s="108">
        <v>0.17</v>
      </c>
      <c r="X40" s="108">
        <v>0.09</v>
      </c>
      <c r="Y40" s="108">
        <v>12.35</v>
      </c>
      <c r="Z40" s="108">
        <v>12.92</v>
      </c>
      <c r="AA40" s="108">
        <v>9.61</v>
      </c>
      <c r="AB40" s="108">
        <v>31.29</v>
      </c>
      <c r="AC40" s="108">
        <v>20.55</v>
      </c>
      <c r="AD40" s="108">
        <v>20.34</v>
      </c>
      <c r="AE40" s="107">
        <v>2.6914777000000001E-2</v>
      </c>
      <c r="AF40" s="107">
        <v>2.5706768000000001E-2</v>
      </c>
      <c r="AG40" s="107">
        <v>3.3554617000000002E-2</v>
      </c>
      <c r="AH40" s="107">
        <v>2.9965821E-2</v>
      </c>
      <c r="AI40" s="107">
        <v>1.417027E-2</v>
      </c>
      <c r="AJ40" s="107">
        <v>1.417027E-2</v>
      </c>
      <c r="AK40" s="107">
        <v>20.906934660000001</v>
      </c>
      <c r="AL40" s="107">
        <v>29.14204462</v>
      </c>
      <c r="AM40" s="107">
        <v>29.142045</v>
      </c>
      <c r="AN40" s="107">
        <v>29.142045</v>
      </c>
      <c r="AO40" s="107">
        <v>24.77231403</v>
      </c>
      <c r="AP40" s="107">
        <v>24.772314000000001</v>
      </c>
      <c r="AQ40" s="107">
        <v>24.772314000000001</v>
      </c>
      <c r="AR40" s="107">
        <v>29.283446210000001</v>
      </c>
      <c r="AS40" s="107">
        <v>28.77813093</v>
      </c>
      <c r="AT40" s="109">
        <v>1.8099999999999999E-5</v>
      </c>
      <c r="AU40" s="109">
        <v>1.7499999999999998E-5</v>
      </c>
      <c r="AV40" s="109">
        <v>2.3200000000000001E-5</v>
      </c>
      <c r="AW40" s="109">
        <v>2.09E-5</v>
      </c>
      <c r="AX40" s="109">
        <v>9.2099999999999999E-6</v>
      </c>
      <c r="AY40" s="109">
        <v>9.2099999999999999E-6</v>
      </c>
      <c r="AZ40" s="107">
        <v>1.1896978000000001E-2</v>
      </c>
      <c r="BA40" s="107">
        <v>7.138187E-2</v>
      </c>
      <c r="BB40" s="107">
        <v>7.1381899999999998E-2</v>
      </c>
      <c r="BC40" s="107">
        <v>7.1381899999999998E-2</v>
      </c>
      <c r="BD40" s="107">
        <v>7.138187E-2</v>
      </c>
      <c r="BE40" s="107">
        <v>7.1381899999999998E-2</v>
      </c>
      <c r="BF40" s="107">
        <v>7.1381899999999998E-2</v>
      </c>
      <c r="BG40" s="107">
        <v>7.138187E-2</v>
      </c>
      <c r="BH40" s="107">
        <v>7.138187E-2</v>
      </c>
      <c r="BI40" s="107">
        <v>2.480229E-3</v>
      </c>
      <c r="BJ40" s="107">
        <v>2.2492419999999998E-3</v>
      </c>
      <c r="BK40" s="107">
        <v>3.045056E-3</v>
      </c>
      <c r="BL40" s="107">
        <v>2.71828E-3</v>
      </c>
      <c r="BM40" s="107">
        <v>1.314623E-3</v>
      </c>
      <c r="BN40" s="107">
        <v>1.314623E-3</v>
      </c>
      <c r="BO40" s="107">
        <v>5.4127180000000004E-3</v>
      </c>
      <c r="BP40" s="107">
        <v>1.6238155000000001E-2</v>
      </c>
      <c r="BQ40" s="107">
        <v>1.6238200000000001E-2</v>
      </c>
      <c r="BR40" s="107">
        <v>1.6238200000000001E-2</v>
      </c>
      <c r="BS40" s="107">
        <v>1.6238155000000001E-2</v>
      </c>
      <c r="BT40" s="107">
        <v>1.6238200000000001E-2</v>
      </c>
      <c r="BU40" s="107">
        <v>1.6238200000000001E-2</v>
      </c>
      <c r="BV40" s="107">
        <v>1.6238155000000001E-2</v>
      </c>
      <c r="BW40" s="107">
        <v>1.6238155000000001E-2</v>
      </c>
    </row>
    <row r="41" spans="1:75" x14ac:dyDescent="0.25">
      <c r="A41" s="107">
        <v>40</v>
      </c>
      <c r="B41" s="108">
        <v>0.08</v>
      </c>
      <c r="C41" s="108">
        <v>0.06</v>
      </c>
      <c r="D41" s="108">
        <v>0.08</v>
      </c>
      <c r="E41" s="108">
        <v>0.06</v>
      </c>
      <c r="F41" s="108">
        <v>0.05</v>
      </c>
      <c r="G41" s="108">
        <v>0.05</v>
      </c>
      <c r="H41" s="108">
        <v>81.709999999999994</v>
      </c>
      <c r="I41" s="108">
        <v>17.100000000000001</v>
      </c>
      <c r="J41" s="108">
        <v>0</v>
      </c>
      <c r="K41" s="108">
        <v>0</v>
      </c>
      <c r="L41" s="108">
        <v>4.68</v>
      </c>
      <c r="M41" s="108">
        <v>31.29</v>
      </c>
      <c r="N41" s="108">
        <v>20.55</v>
      </c>
      <c r="O41" s="108">
        <v>20.34</v>
      </c>
      <c r="P41" s="108">
        <v>33.229999999999997</v>
      </c>
      <c r="Q41" s="108">
        <v>29.95</v>
      </c>
      <c r="R41" s="108">
        <v>33.93</v>
      </c>
      <c r="S41" s="108">
        <v>33.130000000000003</v>
      </c>
      <c r="T41" s="108">
        <v>23.79</v>
      </c>
      <c r="U41" s="108">
        <v>0.02</v>
      </c>
      <c r="V41" s="108">
        <v>0.25</v>
      </c>
      <c r="W41" s="108">
        <v>0.17</v>
      </c>
      <c r="X41" s="108">
        <v>0.09</v>
      </c>
      <c r="Y41" s="108">
        <v>12.35</v>
      </c>
      <c r="Z41" s="108">
        <v>12.92</v>
      </c>
      <c r="AA41" s="108">
        <v>9.61</v>
      </c>
      <c r="AB41" s="108">
        <v>31.29</v>
      </c>
      <c r="AC41" s="108">
        <v>20.55</v>
      </c>
      <c r="AD41" s="108">
        <v>20.34</v>
      </c>
      <c r="AE41" s="107">
        <v>2.6914777000000001E-2</v>
      </c>
      <c r="AF41" s="107">
        <v>2.5706768000000001E-2</v>
      </c>
      <c r="AG41" s="107">
        <v>3.3554617000000002E-2</v>
      </c>
      <c r="AH41" s="107">
        <v>2.9965821E-2</v>
      </c>
      <c r="AI41" s="107">
        <v>1.417027E-2</v>
      </c>
      <c r="AJ41" s="107">
        <v>1.417027E-2</v>
      </c>
      <c r="AK41" s="107">
        <v>20.906934660000001</v>
      </c>
      <c r="AL41" s="107">
        <v>29.14204462</v>
      </c>
      <c r="AM41" s="107">
        <v>29.142045</v>
      </c>
      <c r="AN41" s="107">
        <v>29.142045</v>
      </c>
      <c r="AO41" s="107">
        <v>24.77231403</v>
      </c>
      <c r="AP41" s="107">
        <v>24.772314000000001</v>
      </c>
      <c r="AQ41" s="107">
        <v>24.772314000000001</v>
      </c>
      <c r="AR41" s="107">
        <v>29.283446210000001</v>
      </c>
      <c r="AS41" s="107">
        <v>28.77813093</v>
      </c>
      <c r="AT41" s="109">
        <v>1.8099999999999999E-5</v>
      </c>
      <c r="AU41" s="109">
        <v>1.7499999999999998E-5</v>
      </c>
      <c r="AV41" s="109">
        <v>2.3200000000000001E-5</v>
      </c>
      <c r="AW41" s="109">
        <v>2.09E-5</v>
      </c>
      <c r="AX41" s="109">
        <v>9.2099999999999999E-6</v>
      </c>
      <c r="AY41" s="109">
        <v>9.2099999999999999E-6</v>
      </c>
      <c r="AZ41" s="107">
        <v>1.1896978000000001E-2</v>
      </c>
      <c r="BA41" s="107">
        <v>7.138187E-2</v>
      </c>
      <c r="BB41" s="107">
        <v>7.1381899999999998E-2</v>
      </c>
      <c r="BC41" s="107">
        <v>7.1381899999999998E-2</v>
      </c>
      <c r="BD41" s="107">
        <v>7.138187E-2</v>
      </c>
      <c r="BE41" s="107">
        <v>7.1381899999999998E-2</v>
      </c>
      <c r="BF41" s="107">
        <v>7.1381899999999998E-2</v>
      </c>
      <c r="BG41" s="107">
        <v>7.138187E-2</v>
      </c>
      <c r="BH41" s="107">
        <v>7.138187E-2</v>
      </c>
      <c r="BI41" s="107">
        <v>2.480229E-3</v>
      </c>
      <c r="BJ41" s="107">
        <v>2.2492419999999998E-3</v>
      </c>
      <c r="BK41" s="107">
        <v>3.045056E-3</v>
      </c>
      <c r="BL41" s="107">
        <v>2.71828E-3</v>
      </c>
      <c r="BM41" s="107">
        <v>1.314623E-3</v>
      </c>
      <c r="BN41" s="107">
        <v>1.314623E-3</v>
      </c>
      <c r="BO41" s="107">
        <v>5.4127180000000004E-3</v>
      </c>
      <c r="BP41" s="107">
        <v>1.6238155000000001E-2</v>
      </c>
      <c r="BQ41" s="107">
        <v>1.6238200000000001E-2</v>
      </c>
      <c r="BR41" s="107">
        <v>1.6238200000000001E-2</v>
      </c>
      <c r="BS41" s="107">
        <v>1.6238155000000001E-2</v>
      </c>
      <c r="BT41" s="107">
        <v>1.6238200000000001E-2</v>
      </c>
      <c r="BU41" s="107">
        <v>1.6238200000000001E-2</v>
      </c>
      <c r="BV41" s="107">
        <v>1.6238155000000001E-2</v>
      </c>
      <c r="BW41" s="107">
        <v>1.6238155000000001E-2</v>
      </c>
    </row>
    <row r="42" spans="1:75" x14ac:dyDescent="0.25">
      <c r="A42" s="107">
        <v>41</v>
      </c>
      <c r="B42" s="108">
        <v>0.08</v>
      </c>
      <c r="C42" s="108">
        <v>0.06</v>
      </c>
      <c r="D42" s="108">
        <v>0.08</v>
      </c>
      <c r="E42" s="108">
        <v>0.06</v>
      </c>
      <c r="F42" s="108">
        <v>0.05</v>
      </c>
      <c r="G42" s="108">
        <v>0.05</v>
      </c>
      <c r="H42" s="108">
        <v>81.709999999999994</v>
      </c>
      <c r="I42" s="108">
        <v>17.100000000000001</v>
      </c>
      <c r="J42" s="108">
        <v>0</v>
      </c>
      <c r="K42" s="108">
        <v>0</v>
      </c>
      <c r="L42" s="108">
        <v>4.68</v>
      </c>
      <c r="M42" s="108">
        <v>31.29</v>
      </c>
      <c r="N42" s="108">
        <v>20.55</v>
      </c>
      <c r="O42" s="108">
        <v>20.34</v>
      </c>
      <c r="P42" s="108">
        <v>33.229999999999997</v>
      </c>
      <c r="Q42" s="108">
        <v>29.95</v>
      </c>
      <c r="R42" s="108">
        <v>33.93</v>
      </c>
      <c r="S42" s="108">
        <v>33.130000000000003</v>
      </c>
      <c r="T42" s="108">
        <v>23.79</v>
      </c>
      <c r="U42" s="108">
        <v>0.02</v>
      </c>
      <c r="V42" s="108">
        <v>0.25</v>
      </c>
      <c r="W42" s="108">
        <v>0.17</v>
      </c>
      <c r="X42" s="108">
        <v>0.09</v>
      </c>
      <c r="Y42" s="108">
        <v>12.35</v>
      </c>
      <c r="Z42" s="108">
        <v>12.92</v>
      </c>
      <c r="AA42" s="108">
        <v>9.61</v>
      </c>
      <c r="AB42" s="108">
        <v>31.29</v>
      </c>
      <c r="AC42" s="108">
        <v>20.55</v>
      </c>
      <c r="AD42" s="108">
        <v>20.34</v>
      </c>
      <c r="AE42" s="107">
        <v>2.6914777000000001E-2</v>
      </c>
      <c r="AF42" s="107">
        <v>2.5706768000000001E-2</v>
      </c>
      <c r="AG42" s="107">
        <v>3.3554617000000002E-2</v>
      </c>
      <c r="AH42" s="107">
        <v>2.9965821E-2</v>
      </c>
      <c r="AI42" s="107">
        <v>1.417027E-2</v>
      </c>
      <c r="AJ42" s="107">
        <v>1.417027E-2</v>
      </c>
      <c r="AK42" s="107">
        <v>20.906934660000001</v>
      </c>
      <c r="AL42" s="107">
        <v>29.14204462</v>
      </c>
      <c r="AM42" s="107">
        <v>29.142045</v>
      </c>
      <c r="AN42" s="107">
        <v>29.142045</v>
      </c>
      <c r="AO42" s="107">
        <v>24.77231403</v>
      </c>
      <c r="AP42" s="107">
        <v>24.772314000000001</v>
      </c>
      <c r="AQ42" s="107">
        <v>24.772314000000001</v>
      </c>
      <c r="AR42" s="107">
        <v>29.283446210000001</v>
      </c>
      <c r="AS42" s="107">
        <v>28.77813093</v>
      </c>
      <c r="AT42" s="109">
        <v>1.8099999999999999E-5</v>
      </c>
      <c r="AU42" s="109">
        <v>1.7499999999999998E-5</v>
      </c>
      <c r="AV42" s="109">
        <v>2.3200000000000001E-5</v>
      </c>
      <c r="AW42" s="109">
        <v>2.09E-5</v>
      </c>
      <c r="AX42" s="109">
        <v>9.2099999999999999E-6</v>
      </c>
      <c r="AY42" s="109">
        <v>9.2099999999999999E-6</v>
      </c>
      <c r="AZ42" s="107">
        <v>1.1896978000000001E-2</v>
      </c>
      <c r="BA42" s="107">
        <v>7.138187E-2</v>
      </c>
      <c r="BB42" s="107">
        <v>7.1381899999999998E-2</v>
      </c>
      <c r="BC42" s="107">
        <v>7.1381899999999998E-2</v>
      </c>
      <c r="BD42" s="107">
        <v>7.138187E-2</v>
      </c>
      <c r="BE42" s="107">
        <v>7.1381899999999998E-2</v>
      </c>
      <c r="BF42" s="107">
        <v>7.1381899999999998E-2</v>
      </c>
      <c r="BG42" s="107">
        <v>7.138187E-2</v>
      </c>
      <c r="BH42" s="107">
        <v>7.138187E-2</v>
      </c>
      <c r="BI42" s="107">
        <v>2.480229E-3</v>
      </c>
      <c r="BJ42" s="107">
        <v>2.2492419999999998E-3</v>
      </c>
      <c r="BK42" s="107">
        <v>3.045056E-3</v>
      </c>
      <c r="BL42" s="107">
        <v>2.71828E-3</v>
      </c>
      <c r="BM42" s="107">
        <v>1.314623E-3</v>
      </c>
      <c r="BN42" s="107">
        <v>1.314623E-3</v>
      </c>
      <c r="BO42" s="107">
        <v>5.4127180000000004E-3</v>
      </c>
      <c r="BP42" s="107">
        <v>1.6238155000000001E-2</v>
      </c>
      <c r="BQ42" s="107">
        <v>1.6238200000000001E-2</v>
      </c>
      <c r="BR42" s="107">
        <v>1.6238200000000001E-2</v>
      </c>
      <c r="BS42" s="107">
        <v>1.6238155000000001E-2</v>
      </c>
      <c r="BT42" s="107">
        <v>1.6238200000000001E-2</v>
      </c>
      <c r="BU42" s="107">
        <v>1.6238200000000001E-2</v>
      </c>
      <c r="BV42" s="107">
        <v>1.6238155000000001E-2</v>
      </c>
      <c r="BW42" s="107">
        <v>1.6238155000000001E-2</v>
      </c>
    </row>
    <row r="43" spans="1:75" x14ac:dyDescent="0.25">
      <c r="A43" s="107">
        <v>42</v>
      </c>
      <c r="B43" s="108">
        <v>0.08</v>
      </c>
      <c r="C43" s="108">
        <v>0.06</v>
      </c>
      <c r="D43" s="108">
        <v>0.08</v>
      </c>
      <c r="E43" s="108">
        <v>0.06</v>
      </c>
      <c r="F43" s="108">
        <v>0.05</v>
      </c>
      <c r="G43" s="108">
        <v>0.05</v>
      </c>
      <c r="H43" s="108">
        <v>81.709999999999994</v>
      </c>
      <c r="I43" s="108">
        <v>17.100000000000001</v>
      </c>
      <c r="J43" s="108">
        <v>0</v>
      </c>
      <c r="K43" s="108">
        <v>0</v>
      </c>
      <c r="L43" s="108">
        <v>4.68</v>
      </c>
      <c r="M43" s="108">
        <v>31.29</v>
      </c>
      <c r="N43" s="108">
        <v>20.55</v>
      </c>
      <c r="O43" s="108">
        <v>20.34</v>
      </c>
      <c r="P43" s="108">
        <v>33.229999999999997</v>
      </c>
      <c r="Q43" s="108">
        <v>29.95</v>
      </c>
      <c r="R43" s="108">
        <v>33.93</v>
      </c>
      <c r="S43" s="108">
        <v>33.130000000000003</v>
      </c>
      <c r="T43" s="108">
        <v>23.79</v>
      </c>
      <c r="U43" s="108">
        <v>0.02</v>
      </c>
      <c r="V43" s="108">
        <v>0.25</v>
      </c>
      <c r="W43" s="108">
        <v>0.17</v>
      </c>
      <c r="X43" s="108">
        <v>0.09</v>
      </c>
      <c r="Y43" s="108">
        <v>12.35</v>
      </c>
      <c r="Z43" s="108">
        <v>12.92</v>
      </c>
      <c r="AA43" s="108">
        <v>9.61</v>
      </c>
      <c r="AB43" s="108">
        <v>31.29</v>
      </c>
      <c r="AC43" s="108">
        <v>20.55</v>
      </c>
      <c r="AD43" s="108">
        <v>20.34</v>
      </c>
      <c r="AE43" s="107">
        <v>2.6914777000000001E-2</v>
      </c>
      <c r="AF43" s="107">
        <v>2.5706768000000001E-2</v>
      </c>
      <c r="AG43" s="107">
        <v>3.3554617000000002E-2</v>
      </c>
      <c r="AH43" s="107">
        <v>2.9965821E-2</v>
      </c>
      <c r="AI43" s="107">
        <v>1.417027E-2</v>
      </c>
      <c r="AJ43" s="107">
        <v>1.417027E-2</v>
      </c>
      <c r="AK43" s="107">
        <v>20.906934660000001</v>
      </c>
      <c r="AL43" s="107">
        <v>29.14204462</v>
      </c>
      <c r="AM43" s="107">
        <v>29.142045</v>
      </c>
      <c r="AN43" s="107">
        <v>29.142045</v>
      </c>
      <c r="AO43" s="107">
        <v>24.77231403</v>
      </c>
      <c r="AP43" s="107">
        <v>24.772314000000001</v>
      </c>
      <c r="AQ43" s="107">
        <v>24.772314000000001</v>
      </c>
      <c r="AR43" s="107">
        <v>29.283446210000001</v>
      </c>
      <c r="AS43" s="107">
        <v>28.77813093</v>
      </c>
      <c r="AT43" s="109">
        <v>1.8099999999999999E-5</v>
      </c>
      <c r="AU43" s="109">
        <v>1.7499999999999998E-5</v>
      </c>
      <c r="AV43" s="109">
        <v>2.3200000000000001E-5</v>
      </c>
      <c r="AW43" s="109">
        <v>2.09E-5</v>
      </c>
      <c r="AX43" s="109">
        <v>9.2099999999999999E-6</v>
      </c>
      <c r="AY43" s="109">
        <v>9.2099999999999999E-6</v>
      </c>
      <c r="AZ43" s="107">
        <v>1.1896978000000001E-2</v>
      </c>
      <c r="BA43" s="107">
        <v>7.138187E-2</v>
      </c>
      <c r="BB43" s="107">
        <v>7.1381899999999998E-2</v>
      </c>
      <c r="BC43" s="107">
        <v>7.1381899999999998E-2</v>
      </c>
      <c r="BD43" s="107">
        <v>7.138187E-2</v>
      </c>
      <c r="BE43" s="107">
        <v>7.1381899999999998E-2</v>
      </c>
      <c r="BF43" s="107">
        <v>7.1381899999999998E-2</v>
      </c>
      <c r="BG43" s="107">
        <v>7.138187E-2</v>
      </c>
      <c r="BH43" s="107">
        <v>7.138187E-2</v>
      </c>
      <c r="BI43" s="107">
        <v>2.480229E-3</v>
      </c>
      <c r="BJ43" s="107">
        <v>2.2492419999999998E-3</v>
      </c>
      <c r="BK43" s="107">
        <v>3.045056E-3</v>
      </c>
      <c r="BL43" s="107">
        <v>2.71828E-3</v>
      </c>
      <c r="BM43" s="107">
        <v>1.314623E-3</v>
      </c>
      <c r="BN43" s="107">
        <v>1.314623E-3</v>
      </c>
      <c r="BO43" s="107">
        <v>5.4127180000000004E-3</v>
      </c>
      <c r="BP43" s="107">
        <v>1.6238155000000001E-2</v>
      </c>
      <c r="BQ43" s="107">
        <v>1.6238200000000001E-2</v>
      </c>
      <c r="BR43" s="107">
        <v>1.6238200000000001E-2</v>
      </c>
      <c r="BS43" s="107">
        <v>1.6238155000000001E-2</v>
      </c>
      <c r="BT43" s="107">
        <v>1.6238200000000001E-2</v>
      </c>
      <c r="BU43" s="107">
        <v>1.6238200000000001E-2</v>
      </c>
      <c r="BV43" s="107">
        <v>1.6238155000000001E-2</v>
      </c>
      <c r="BW43" s="107">
        <v>1.6238155000000001E-2</v>
      </c>
    </row>
    <row r="44" spans="1:75" x14ac:dyDescent="0.25">
      <c r="A44" s="107">
        <v>43</v>
      </c>
      <c r="B44" s="108">
        <v>0.08</v>
      </c>
      <c r="C44" s="108">
        <v>0.06</v>
      </c>
      <c r="D44" s="108">
        <v>0.08</v>
      </c>
      <c r="E44" s="108">
        <v>0.06</v>
      </c>
      <c r="F44" s="108">
        <v>0.05</v>
      </c>
      <c r="G44" s="108">
        <v>0.05</v>
      </c>
      <c r="H44" s="108">
        <v>81.709999999999994</v>
      </c>
      <c r="I44" s="108">
        <v>17.100000000000001</v>
      </c>
      <c r="J44" s="108">
        <v>0</v>
      </c>
      <c r="K44" s="108">
        <v>0</v>
      </c>
      <c r="L44" s="108">
        <v>4.68</v>
      </c>
      <c r="M44" s="108">
        <v>31.29</v>
      </c>
      <c r="N44" s="108">
        <v>20.55</v>
      </c>
      <c r="O44" s="108">
        <v>20.34</v>
      </c>
      <c r="P44" s="108">
        <v>33.229999999999997</v>
      </c>
      <c r="Q44" s="108">
        <v>29.95</v>
      </c>
      <c r="R44" s="108">
        <v>33.93</v>
      </c>
      <c r="S44" s="108">
        <v>33.130000000000003</v>
      </c>
      <c r="T44" s="108">
        <v>23.79</v>
      </c>
      <c r="U44" s="108">
        <v>0.02</v>
      </c>
      <c r="V44" s="108">
        <v>0.25</v>
      </c>
      <c r="W44" s="108">
        <v>0.17</v>
      </c>
      <c r="X44" s="108">
        <v>0.09</v>
      </c>
      <c r="Y44" s="108">
        <v>12.35</v>
      </c>
      <c r="Z44" s="108">
        <v>12.92</v>
      </c>
      <c r="AA44" s="108">
        <v>9.61</v>
      </c>
      <c r="AB44" s="108">
        <v>31.29</v>
      </c>
      <c r="AC44" s="108">
        <v>20.55</v>
      </c>
      <c r="AD44" s="108">
        <v>20.34</v>
      </c>
      <c r="AE44" s="107">
        <v>2.6914777000000001E-2</v>
      </c>
      <c r="AF44" s="107">
        <v>2.5706768000000001E-2</v>
      </c>
      <c r="AG44" s="107">
        <v>3.3554617000000002E-2</v>
      </c>
      <c r="AH44" s="107">
        <v>2.9965821E-2</v>
      </c>
      <c r="AI44" s="107">
        <v>1.417027E-2</v>
      </c>
      <c r="AJ44" s="107">
        <v>1.417027E-2</v>
      </c>
      <c r="AK44" s="107">
        <v>20.906934660000001</v>
      </c>
      <c r="AL44" s="107">
        <v>29.14204462</v>
      </c>
      <c r="AM44" s="107">
        <v>29.142045</v>
      </c>
      <c r="AN44" s="107">
        <v>29.142045</v>
      </c>
      <c r="AO44" s="107">
        <v>24.77231403</v>
      </c>
      <c r="AP44" s="107">
        <v>24.772314000000001</v>
      </c>
      <c r="AQ44" s="107">
        <v>24.772314000000001</v>
      </c>
      <c r="AR44" s="107">
        <v>29.283446210000001</v>
      </c>
      <c r="AS44" s="107">
        <v>28.77813093</v>
      </c>
      <c r="AT44" s="109">
        <v>1.8099999999999999E-5</v>
      </c>
      <c r="AU44" s="109">
        <v>1.7499999999999998E-5</v>
      </c>
      <c r="AV44" s="109">
        <v>2.3200000000000001E-5</v>
      </c>
      <c r="AW44" s="109">
        <v>2.09E-5</v>
      </c>
      <c r="AX44" s="109">
        <v>9.2099999999999999E-6</v>
      </c>
      <c r="AY44" s="109">
        <v>9.2099999999999999E-6</v>
      </c>
      <c r="AZ44" s="107">
        <v>1.1896978000000001E-2</v>
      </c>
      <c r="BA44" s="107">
        <v>7.138187E-2</v>
      </c>
      <c r="BB44" s="107">
        <v>7.1381899999999998E-2</v>
      </c>
      <c r="BC44" s="107">
        <v>7.1381899999999998E-2</v>
      </c>
      <c r="BD44" s="107">
        <v>7.138187E-2</v>
      </c>
      <c r="BE44" s="107">
        <v>7.1381899999999998E-2</v>
      </c>
      <c r="BF44" s="107">
        <v>7.1381899999999998E-2</v>
      </c>
      <c r="BG44" s="107">
        <v>7.138187E-2</v>
      </c>
      <c r="BH44" s="107">
        <v>7.138187E-2</v>
      </c>
      <c r="BI44" s="107">
        <v>2.480229E-3</v>
      </c>
      <c r="BJ44" s="107">
        <v>2.2492419999999998E-3</v>
      </c>
      <c r="BK44" s="107">
        <v>3.045056E-3</v>
      </c>
      <c r="BL44" s="107">
        <v>2.71828E-3</v>
      </c>
      <c r="BM44" s="107">
        <v>1.314623E-3</v>
      </c>
      <c r="BN44" s="107">
        <v>1.314623E-3</v>
      </c>
      <c r="BO44" s="107">
        <v>5.4127180000000004E-3</v>
      </c>
      <c r="BP44" s="107">
        <v>1.6238155000000001E-2</v>
      </c>
      <c r="BQ44" s="107">
        <v>1.6238200000000001E-2</v>
      </c>
      <c r="BR44" s="107">
        <v>1.6238200000000001E-2</v>
      </c>
      <c r="BS44" s="107">
        <v>1.6238155000000001E-2</v>
      </c>
      <c r="BT44" s="107">
        <v>1.6238200000000001E-2</v>
      </c>
      <c r="BU44" s="107">
        <v>1.6238200000000001E-2</v>
      </c>
      <c r="BV44" s="107">
        <v>1.6238155000000001E-2</v>
      </c>
      <c r="BW44" s="107">
        <v>1.6238155000000001E-2</v>
      </c>
    </row>
    <row r="45" spans="1:75" x14ac:dyDescent="0.25">
      <c r="A45" s="107">
        <v>44</v>
      </c>
      <c r="B45" s="108">
        <v>0.08</v>
      </c>
      <c r="C45" s="108">
        <v>0.06</v>
      </c>
      <c r="D45" s="108">
        <v>0.08</v>
      </c>
      <c r="E45" s="108">
        <v>0.06</v>
      </c>
      <c r="F45" s="108">
        <v>0.05</v>
      </c>
      <c r="G45" s="108">
        <v>0.05</v>
      </c>
      <c r="H45" s="108">
        <v>81.709999999999994</v>
      </c>
      <c r="I45" s="108">
        <v>17.100000000000001</v>
      </c>
      <c r="J45" s="108">
        <v>0</v>
      </c>
      <c r="K45" s="108">
        <v>0</v>
      </c>
      <c r="L45" s="108">
        <v>4.68</v>
      </c>
      <c r="M45" s="108">
        <v>31.29</v>
      </c>
      <c r="N45" s="108">
        <v>20.55</v>
      </c>
      <c r="O45" s="108">
        <v>20.34</v>
      </c>
      <c r="P45" s="108">
        <v>33.229999999999997</v>
      </c>
      <c r="Q45" s="108">
        <v>29.95</v>
      </c>
      <c r="R45" s="108">
        <v>33.93</v>
      </c>
      <c r="S45" s="108">
        <v>33.130000000000003</v>
      </c>
      <c r="T45" s="108">
        <v>23.79</v>
      </c>
      <c r="U45" s="108">
        <v>0.02</v>
      </c>
      <c r="V45" s="108">
        <v>0.25</v>
      </c>
      <c r="W45" s="108">
        <v>0.17</v>
      </c>
      <c r="X45" s="108">
        <v>0.09</v>
      </c>
      <c r="Y45" s="108">
        <v>12.35</v>
      </c>
      <c r="Z45" s="108">
        <v>12.92</v>
      </c>
      <c r="AA45" s="108">
        <v>9.61</v>
      </c>
      <c r="AB45" s="108">
        <v>31.29</v>
      </c>
      <c r="AC45" s="108">
        <v>20.55</v>
      </c>
      <c r="AD45" s="108">
        <v>20.34</v>
      </c>
      <c r="AE45" s="107">
        <v>2.6914777000000001E-2</v>
      </c>
      <c r="AF45" s="107">
        <v>2.5706768000000001E-2</v>
      </c>
      <c r="AG45" s="107">
        <v>3.3554617000000002E-2</v>
      </c>
      <c r="AH45" s="107">
        <v>2.9965821E-2</v>
      </c>
      <c r="AI45" s="107">
        <v>1.417027E-2</v>
      </c>
      <c r="AJ45" s="107">
        <v>1.417027E-2</v>
      </c>
      <c r="AK45" s="107">
        <v>20.906934660000001</v>
      </c>
      <c r="AL45" s="107">
        <v>29.14204462</v>
      </c>
      <c r="AM45" s="107">
        <v>29.142045</v>
      </c>
      <c r="AN45" s="107">
        <v>29.142045</v>
      </c>
      <c r="AO45" s="107">
        <v>24.77231403</v>
      </c>
      <c r="AP45" s="107">
        <v>24.772314000000001</v>
      </c>
      <c r="AQ45" s="107">
        <v>24.772314000000001</v>
      </c>
      <c r="AR45" s="107">
        <v>29.283446210000001</v>
      </c>
      <c r="AS45" s="107">
        <v>28.77813093</v>
      </c>
      <c r="AT45" s="109">
        <v>1.8099999999999999E-5</v>
      </c>
      <c r="AU45" s="109">
        <v>1.7499999999999998E-5</v>
      </c>
      <c r="AV45" s="109">
        <v>2.3200000000000001E-5</v>
      </c>
      <c r="AW45" s="109">
        <v>2.09E-5</v>
      </c>
      <c r="AX45" s="109">
        <v>9.2099999999999999E-6</v>
      </c>
      <c r="AY45" s="109">
        <v>9.2099999999999999E-6</v>
      </c>
      <c r="AZ45" s="107">
        <v>1.1896978000000001E-2</v>
      </c>
      <c r="BA45" s="107">
        <v>7.138187E-2</v>
      </c>
      <c r="BB45" s="107">
        <v>7.1381899999999998E-2</v>
      </c>
      <c r="BC45" s="107">
        <v>7.1381899999999998E-2</v>
      </c>
      <c r="BD45" s="107">
        <v>7.138187E-2</v>
      </c>
      <c r="BE45" s="107">
        <v>7.1381899999999998E-2</v>
      </c>
      <c r="BF45" s="107">
        <v>7.1381899999999998E-2</v>
      </c>
      <c r="BG45" s="107">
        <v>7.138187E-2</v>
      </c>
      <c r="BH45" s="107">
        <v>7.138187E-2</v>
      </c>
      <c r="BI45" s="107">
        <v>2.480229E-3</v>
      </c>
      <c r="BJ45" s="107">
        <v>2.2492419999999998E-3</v>
      </c>
      <c r="BK45" s="107">
        <v>3.045056E-3</v>
      </c>
      <c r="BL45" s="107">
        <v>2.71828E-3</v>
      </c>
      <c r="BM45" s="107">
        <v>1.314623E-3</v>
      </c>
      <c r="BN45" s="107">
        <v>1.314623E-3</v>
      </c>
      <c r="BO45" s="107">
        <v>5.4127180000000004E-3</v>
      </c>
      <c r="BP45" s="107">
        <v>1.6238155000000001E-2</v>
      </c>
      <c r="BQ45" s="107">
        <v>1.6238200000000001E-2</v>
      </c>
      <c r="BR45" s="107">
        <v>1.6238200000000001E-2</v>
      </c>
      <c r="BS45" s="107">
        <v>1.6238155000000001E-2</v>
      </c>
      <c r="BT45" s="107">
        <v>1.6238200000000001E-2</v>
      </c>
      <c r="BU45" s="107">
        <v>1.6238200000000001E-2</v>
      </c>
      <c r="BV45" s="107">
        <v>1.6238155000000001E-2</v>
      </c>
      <c r="BW45" s="107">
        <v>1.6238155000000001E-2</v>
      </c>
    </row>
    <row r="46" spans="1:75" x14ac:dyDescent="0.25">
      <c r="A46" s="107">
        <v>45</v>
      </c>
      <c r="B46" s="108">
        <v>0.08</v>
      </c>
      <c r="C46" s="108">
        <v>0.06</v>
      </c>
      <c r="D46" s="108">
        <v>0.08</v>
      </c>
      <c r="E46" s="108">
        <v>0.06</v>
      </c>
      <c r="F46" s="108">
        <v>0.05</v>
      </c>
      <c r="G46" s="108">
        <v>0.05</v>
      </c>
      <c r="H46" s="108">
        <v>81.709999999999994</v>
      </c>
      <c r="I46" s="108">
        <v>17.100000000000001</v>
      </c>
      <c r="J46" s="108">
        <v>0</v>
      </c>
      <c r="K46" s="108">
        <v>0</v>
      </c>
      <c r="L46" s="108">
        <v>4.68</v>
      </c>
      <c r="M46" s="108">
        <v>31.29</v>
      </c>
      <c r="N46" s="108">
        <v>20.55</v>
      </c>
      <c r="O46" s="108">
        <v>20.34</v>
      </c>
      <c r="P46" s="108">
        <v>33.229999999999997</v>
      </c>
      <c r="Q46" s="108">
        <v>29.95</v>
      </c>
      <c r="R46" s="108">
        <v>33.93</v>
      </c>
      <c r="S46" s="108">
        <v>33.130000000000003</v>
      </c>
      <c r="T46" s="108">
        <v>23.79</v>
      </c>
      <c r="U46" s="108">
        <v>0.02</v>
      </c>
      <c r="V46" s="108">
        <v>0.25</v>
      </c>
      <c r="W46" s="108">
        <v>0.17</v>
      </c>
      <c r="X46" s="108">
        <v>0.09</v>
      </c>
      <c r="Y46" s="108">
        <v>12.35</v>
      </c>
      <c r="Z46" s="108">
        <v>12.92</v>
      </c>
      <c r="AA46" s="108">
        <v>9.61</v>
      </c>
      <c r="AB46" s="108">
        <v>31.29</v>
      </c>
      <c r="AC46" s="108">
        <v>20.55</v>
      </c>
      <c r="AD46" s="108">
        <v>20.34</v>
      </c>
      <c r="AE46" s="107">
        <v>2.6914777000000001E-2</v>
      </c>
      <c r="AF46" s="107">
        <v>2.5706768000000001E-2</v>
      </c>
      <c r="AG46" s="107">
        <v>3.3554617000000002E-2</v>
      </c>
      <c r="AH46" s="107">
        <v>2.9965821E-2</v>
      </c>
      <c r="AI46" s="107">
        <v>1.417027E-2</v>
      </c>
      <c r="AJ46" s="107">
        <v>1.417027E-2</v>
      </c>
      <c r="AK46" s="107">
        <v>20.906934660000001</v>
      </c>
      <c r="AL46" s="107">
        <v>29.14204462</v>
      </c>
      <c r="AM46" s="107">
        <v>29.142045</v>
      </c>
      <c r="AN46" s="107">
        <v>29.142045</v>
      </c>
      <c r="AO46" s="107">
        <v>24.77231403</v>
      </c>
      <c r="AP46" s="107">
        <v>24.772314000000001</v>
      </c>
      <c r="AQ46" s="107">
        <v>24.772314000000001</v>
      </c>
      <c r="AR46" s="107">
        <v>29.283446210000001</v>
      </c>
      <c r="AS46" s="107">
        <v>28.77813093</v>
      </c>
      <c r="AT46" s="109">
        <v>1.8099999999999999E-5</v>
      </c>
      <c r="AU46" s="109">
        <v>1.7499999999999998E-5</v>
      </c>
      <c r="AV46" s="109">
        <v>2.3200000000000001E-5</v>
      </c>
      <c r="AW46" s="109">
        <v>2.09E-5</v>
      </c>
      <c r="AX46" s="109">
        <v>9.2099999999999999E-6</v>
      </c>
      <c r="AY46" s="109">
        <v>9.2099999999999999E-6</v>
      </c>
      <c r="AZ46" s="107">
        <v>1.1896978000000001E-2</v>
      </c>
      <c r="BA46" s="107">
        <v>7.138187E-2</v>
      </c>
      <c r="BB46" s="107">
        <v>7.1381899999999998E-2</v>
      </c>
      <c r="BC46" s="107">
        <v>7.1381899999999998E-2</v>
      </c>
      <c r="BD46" s="107">
        <v>7.138187E-2</v>
      </c>
      <c r="BE46" s="107">
        <v>7.1381899999999998E-2</v>
      </c>
      <c r="BF46" s="107">
        <v>7.1381899999999998E-2</v>
      </c>
      <c r="BG46" s="107">
        <v>7.138187E-2</v>
      </c>
      <c r="BH46" s="107">
        <v>7.138187E-2</v>
      </c>
      <c r="BI46" s="107">
        <v>2.480229E-3</v>
      </c>
      <c r="BJ46" s="107">
        <v>2.2492419999999998E-3</v>
      </c>
      <c r="BK46" s="107">
        <v>3.045056E-3</v>
      </c>
      <c r="BL46" s="107">
        <v>2.71828E-3</v>
      </c>
      <c r="BM46" s="107">
        <v>1.314623E-3</v>
      </c>
      <c r="BN46" s="107">
        <v>1.314623E-3</v>
      </c>
      <c r="BO46" s="107">
        <v>5.4127180000000004E-3</v>
      </c>
      <c r="BP46" s="107">
        <v>1.6238155000000001E-2</v>
      </c>
      <c r="BQ46" s="107">
        <v>1.6238200000000001E-2</v>
      </c>
      <c r="BR46" s="107">
        <v>1.6238200000000001E-2</v>
      </c>
      <c r="BS46" s="107">
        <v>1.6238155000000001E-2</v>
      </c>
      <c r="BT46" s="107">
        <v>1.6238200000000001E-2</v>
      </c>
      <c r="BU46" s="107">
        <v>1.6238200000000001E-2</v>
      </c>
      <c r="BV46" s="107">
        <v>1.6238155000000001E-2</v>
      </c>
      <c r="BW46" s="107">
        <v>1.6238155000000001E-2</v>
      </c>
    </row>
    <row r="47" spans="1:75" x14ac:dyDescent="0.25">
      <c r="A47" s="107">
        <v>46</v>
      </c>
      <c r="B47" s="108">
        <v>0.08</v>
      </c>
      <c r="C47" s="108">
        <v>0.06</v>
      </c>
      <c r="D47" s="108">
        <v>0.08</v>
      </c>
      <c r="E47" s="108">
        <v>0.06</v>
      </c>
      <c r="F47" s="108">
        <v>0.05</v>
      </c>
      <c r="G47" s="108">
        <v>0.05</v>
      </c>
      <c r="H47" s="108">
        <v>81.709999999999994</v>
      </c>
      <c r="I47" s="108">
        <v>17.100000000000001</v>
      </c>
      <c r="J47" s="108">
        <v>0</v>
      </c>
      <c r="K47" s="108">
        <v>0</v>
      </c>
      <c r="L47" s="108">
        <v>4.68</v>
      </c>
      <c r="M47" s="108">
        <v>31.29</v>
      </c>
      <c r="N47" s="108">
        <v>20.55</v>
      </c>
      <c r="O47" s="108">
        <v>20.34</v>
      </c>
      <c r="P47" s="108">
        <v>33.229999999999997</v>
      </c>
      <c r="Q47" s="108">
        <v>29.95</v>
      </c>
      <c r="R47" s="108">
        <v>33.93</v>
      </c>
      <c r="S47" s="108">
        <v>33.130000000000003</v>
      </c>
      <c r="T47" s="108">
        <v>23.79</v>
      </c>
      <c r="U47" s="108">
        <v>0.02</v>
      </c>
      <c r="V47" s="108">
        <v>0.25</v>
      </c>
      <c r="W47" s="108">
        <v>0.17</v>
      </c>
      <c r="X47" s="108">
        <v>0.09</v>
      </c>
      <c r="Y47" s="108">
        <v>12.35</v>
      </c>
      <c r="Z47" s="108">
        <v>12.92</v>
      </c>
      <c r="AA47" s="108">
        <v>9.61</v>
      </c>
      <c r="AB47" s="108">
        <v>31.29</v>
      </c>
      <c r="AC47" s="108">
        <v>20.55</v>
      </c>
      <c r="AD47" s="108">
        <v>20.34</v>
      </c>
      <c r="AE47" s="107">
        <v>2.6914777000000001E-2</v>
      </c>
      <c r="AF47" s="107">
        <v>2.5706768000000001E-2</v>
      </c>
      <c r="AG47" s="107">
        <v>3.3554617000000002E-2</v>
      </c>
      <c r="AH47" s="107">
        <v>2.9965821E-2</v>
      </c>
      <c r="AI47" s="107">
        <v>1.417027E-2</v>
      </c>
      <c r="AJ47" s="107">
        <v>1.417027E-2</v>
      </c>
      <c r="AK47" s="107">
        <v>20.906934660000001</v>
      </c>
      <c r="AL47" s="107">
        <v>29.14204462</v>
      </c>
      <c r="AM47" s="107">
        <v>29.142045</v>
      </c>
      <c r="AN47" s="107">
        <v>29.142045</v>
      </c>
      <c r="AO47" s="107">
        <v>24.77231403</v>
      </c>
      <c r="AP47" s="107">
        <v>24.772314000000001</v>
      </c>
      <c r="AQ47" s="107">
        <v>24.772314000000001</v>
      </c>
      <c r="AR47" s="107">
        <v>29.283446210000001</v>
      </c>
      <c r="AS47" s="107">
        <v>28.77813093</v>
      </c>
      <c r="AT47" s="109">
        <v>1.8099999999999999E-5</v>
      </c>
      <c r="AU47" s="109">
        <v>1.7499999999999998E-5</v>
      </c>
      <c r="AV47" s="109">
        <v>2.3200000000000001E-5</v>
      </c>
      <c r="AW47" s="109">
        <v>2.09E-5</v>
      </c>
      <c r="AX47" s="109">
        <v>9.2099999999999999E-6</v>
      </c>
      <c r="AY47" s="109">
        <v>9.2099999999999999E-6</v>
      </c>
      <c r="AZ47" s="107">
        <v>1.1896978000000001E-2</v>
      </c>
      <c r="BA47" s="107">
        <v>7.138187E-2</v>
      </c>
      <c r="BB47" s="107">
        <v>7.1381899999999998E-2</v>
      </c>
      <c r="BC47" s="107">
        <v>7.1381899999999998E-2</v>
      </c>
      <c r="BD47" s="107">
        <v>7.138187E-2</v>
      </c>
      <c r="BE47" s="107">
        <v>7.1381899999999998E-2</v>
      </c>
      <c r="BF47" s="107">
        <v>7.1381899999999998E-2</v>
      </c>
      <c r="BG47" s="107">
        <v>7.138187E-2</v>
      </c>
      <c r="BH47" s="107">
        <v>7.138187E-2</v>
      </c>
      <c r="BI47" s="107">
        <v>2.480229E-3</v>
      </c>
      <c r="BJ47" s="107">
        <v>2.2492419999999998E-3</v>
      </c>
      <c r="BK47" s="107">
        <v>3.045056E-3</v>
      </c>
      <c r="BL47" s="107">
        <v>2.71828E-3</v>
      </c>
      <c r="BM47" s="107">
        <v>1.314623E-3</v>
      </c>
      <c r="BN47" s="107">
        <v>1.314623E-3</v>
      </c>
      <c r="BO47" s="107">
        <v>5.4127180000000004E-3</v>
      </c>
      <c r="BP47" s="107">
        <v>1.6238155000000001E-2</v>
      </c>
      <c r="BQ47" s="107">
        <v>1.6238200000000001E-2</v>
      </c>
      <c r="BR47" s="107">
        <v>1.6238200000000001E-2</v>
      </c>
      <c r="BS47" s="107">
        <v>1.6238155000000001E-2</v>
      </c>
      <c r="BT47" s="107">
        <v>1.6238200000000001E-2</v>
      </c>
      <c r="BU47" s="107">
        <v>1.6238200000000001E-2</v>
      </c>
      <c r="BV47" s="107">
        <v>1.6238155000000001E-2</v>
      </c>
      <c r="BW47" s="107">
        <v>1.6238155000000001E-2</v>
      </c>
    </row>
    <row r="48" spans="1:75" x14ac:dyDescent="0.25">
      <c r="A48" s="107">
        <v>47</v>
      </c>
      <c r="B48" s="108">
        <v>0.08</v>
      </c>
      <c r="C48" s="108">
        <v>0.06</v>
      </c>
      <c r="D48" s="108">
        <v>0.08</v>
      </c>
      <c r="E48" s="108">
        <v>0.06</v>
      </c>
      <c r="F48" s="108">
        <v>0.05</v>
      </c>
      <c r="G48" s="108">
        <v>0.05</v>
      </c>
      <c r="H48" s="108">
        <v>81.709999999999994</v>
      </c>
      <c r="I48" s="108">
        <v>17.100000000000001</v>
      </c>
      <c r="J48" s="108">
        <v>0</v>
      </c>
      <c r="K48" s="108">
        <v>0</v>
      </c>
      <c r="L48" s="108">
        <v>4.68</v>
      </c>
      <c r="M48" s="108">
        <v>31.29</v>
      </c>
      <c r="N48" s="108">
        <v>20.55</v>
      </c>
      <c r="O48" s="108">
        <v>20.34</v>
      </c>
      <c r="P48" s="108">
        <v>33.229999999999997</v>
      </c>
      <c r="Q48" s="108">
        <v>29.95</v>
      </c>
      <c r="R48" s="108">
        <v>33.93</v>
      </c>
      <c r="S48" s="108">
        <v>33.130000000000003</v>
      </c>
      <c r="T48" s="108">
        <v>23.79</v>
      </c>
      <c r="U48" s="108">
        <v>0.02</v>
      </c>
      <c r="V48" s="108">
        <v>0.25</v>
      </c>
      <c r="W48" s="108">
        <v>0.17</v>
      </c>
      <c r="X48" s="108">
        <v>0.09</v>
      </c>
      <c r="Y48" s="108">
        <v>12.35</v>
      </c>
      <c r="Z48" s="108">
        <v>12.92</v>
      </c>
      <c r="AA48" s="108">
        <v>9.61</v>
      </c>
      <c r="AB48" s="108">
        <v>31.29</v>
      </c>
      <c r="AC48" s="108">
        <v>20.55</v>
      </c>
      <c r="AD48" s="108">
        <v>20.34</v>
      </c>
      <c r="AE48" s="107">
        <v>2.6914777000000001E-2</v>
      </c>
      <c r="AF48" s="107">
        <v>2.5706768000000001E-2</v>
      </c>
      <c r="AG48" s="107">
        <v>3.3554617000000002E-2</v>
      </c>
      <c r="AH48" s="107">
        <v>2.9965821E-2</v>
      </c>
      <c r="AI48" s="107">
        <v>1.417027E-2</v>
      </c>
      <c r="AJ48" s="107">
        <v>1.417027E-2</v>
      </c>
      <c r="AK48" s="107">
        <v>20.906934660000001</v>
      </c>
      <c r="AL48" s="107">
        <v>29.14204462</v>
      </c>
      <c r="AM48" s="107">
        <v>29.142045</v>
      </c>
      <c r="AN48" s="107">
        <v>29.142045</v>
      </c>
      <c r="AO48" s="107">
        <v>24.77231403</v>
      </c>
      <c r="AP48" s="107">
        <v>24.772314000000001</v>
      </c>
      <c r="AQ48" s="107">
        <v>24.772314000000001</v>
      </c>
      <c r="AR48" s="107">
        <v>29.283446210000001</v>
      </c>
      <c r="AS48" s="107">
        <v>28.77813093</v>
      </c>
      <c r="AT48" s="109">
        <v>1.8099999999999999E-5</v>
      </c>
      <c r="AU48" s="109">
        <v>1.7499999999999998E-5</v>
      </c>
      <c r="AV48" s="109">
        <v>2.3200000000000001E-5</v>
      </c>
      <c r="AW48" s="109">
        <v>2.09E-5</v>
      </c>
      <c r="AX48" s="109">
        <v>9.2099999999999999E-6</v>
      </c>
      <c r="AY48" s="109">
        <v>9.2099999999999999E-6</v>
      </c>
      <c r="AZ48" s="107">
        <v>1.1896978000000001E-2</v>
      </c>
      <c r="BA48" s="107">
        <v>7.138187E-2</v>
      </c>
      <c r="BB48" s="107">
        <v>7.1381899999999998E-2</v>
      </c>
      <c r="BC48" s="107">
        <v>7.1381899999999998E-2</v>
      </c>
      <c r="BD48" s="107">
        <v>7.138187E-2</v>
      </c>
      <c r="BE48" s="107">
        <v>7.1381899999999998E-2</v>
      </c>
      <c r="BF48" s="107">
        <v>7.1381899999999998E-2</v>
      </c>
      <c r="BG48" s="107">
        <v>7.138187E-2</v>
      </c>
      <c r="BH48" s="107">
        <v>7.138187E-2</v>
      </c>
      <c r="BI48" s="107">
        <v>2.480229E-3</v>
      </c>
      <c r="BJ48" s="107">
        <v>2.2492419999999998E-3</v>
      </c>
      <c r="BK48" s="107">
        <v>3.045056E-3</v>
      </c>
      <c r="BL48" s="107">
        <v>2.71828E-3</v>
      </c>
      <c r="BM48" s="107">
        <v>1.314623E-3</v>
      </c>
      <c r="BN48" s="107">
        <v>1.314623E-3</v>
      </c>
      <c r="BO48" s="107">
        <v>5.4127180000000004E-3</v>
      </c>
      <c r="BP48" s="107">
        <v>1.6238155000000001E-2</v>
      </c>
      <c r="BQ48" s="107">
        <v>1.6238200000000001E-2</v>
      </c>
      <c r="BR48" s="107">
        <v>1.6238200000000001E-2</v>
      </c>
      <c r="BS48" s="107">
        <v>1.6238155000000001E-2</v>
      </c>
      <c r="BT48" s="107">
        <v>1.6238200000000001E-2</v>
      </c>
      <c r="BU48" s="107">
        <v>1.6238200000000001E-2</v>
      </c>
      <c r="BV48" s="107">
        <v>1.6238155000000001E-2</v>
      </c>
      <c r="BW48" s="107">
        <v>1.6238155000000001E-2</v>
      </c>
    </row>
    <row r="49" spans="1:75" x14ac:dyDescent="0.25">
      <c r="A49" s="107">
        <v>48</v>
      </c>
      <c r="B49" s="108">
        <v>0.08</v>
      </c>
      <c r="C49" s="108">
        <v>0.06</v>
      </c>
      <c r="D49" s="108">
        <v>0.08</v>
      </c>
      <c r="E49" s="108">
        <v>0.06</v>
      </c>
      <c r="F49" s="108">
        <v>0.05</v>
      </c>
      <c r="G49" s="108">
        <v>0.05</v>
      </c>
      <c r="H49" s="108">
        <v>81.709999999999994</v>
      </c>
      <c r="I49" s="108">
        <v>17.100000000000001</v>
      </c>
      <c r="J49" s="108">
        <v>0</v>
      </c>
      <c r="K49" s="108">
        <v>0</v>
      </c>
      <c r="L49" s="108">
        <v>4.68</v>
      </c>
      <c r="M49" s="108">
        <v>31.29</v>
      </c>
      <c r="N49" s="108">
        <v>20.55</v>
      </c>
      <c r="O49" s="108">
        <v>20.34</v>
      </c>
      <c r="P49" s="108">
        <v>33.229999999999997</v>
      </c>
      <c r="Q49" s="108">
        <v>29.95</v>
      </c>
      <c r="R49" s="108">
        <v>33.93</v>
      </c>
      <c r="S49" s="108">
        <v>33.130000000000003</v>
      </c>
      <c r="T49" s="108">
        <v>23.79</v>
      </c>
      <c r="U49" s="108">
        <v>0.02</v>
      </c>
      <c r="V49" s="108">
        <v>0.25</v>
      </c>
      <c r="W49" s="108">
        <v>0.17</v>
      </c>
      <c r="X49" s="108">
        <v>0.09</v>
      </c>
      <c r="Y49" s="108">
        <v>12.35</v>
      </c>
      <c r="Z49" s="108">
        <v>12.92</v>
      </c>
      <c r="AA49" s="108">
        <v>9.61</v>
      </c>
      <c r="AB49" s="108">
        <v>31.29</v>
      </c>
      <c r="AC49" s="108">
        <v>20.55</v>
      </c>
      <c r="AD49" s="108">
        <v>20.34</v>
      </c>
      <c r="AE49" s="107">
        <v>2.6914777000000001E-2</v>
      </c>
      <c r="AF49" s="107">
        <v>2.5706768000000001E-2</v>
      </c>
      <c r="AG49" s="107">
        <v>3.3554617000000002E-2</v>
      </c>
      <c r="AH49" s="107">
        <v>2.9965821E-2</v>
      </c>
      <c r="AI49" s="107">
        <v>1.417027E-2</v>
      </c>
      <c r="AJ49" s="107">
        <v>1.417027E-2</v>
      </c>
      <c r="AK49" s="107">
        <v>20.906934660000001</v>
      </c>
      <c r="AL49" s="107">
        <v>29.14204462</v>
      </c>
      <c r="AM49" s="107">
        <v>29.142045</v>
      </c>
      <c r="AN49" s="107">
        <v>29.142045</v>
      </c>
      <c r="AO49" s="107">
        <v>24.77231403</v>
      </c>
      <c r="AP49" s="107">
        <v>24.772314000000001</v>
      </c>
      <c r="AQ49" s="107">
        <v>24.772314000000001</v>
      </c>
      <c r="AR49" s="107">
        <v>29.283446210000001</v>
      </c>
      <c r="AS49" s="107">
        <v>28.77813093</v>
      </c>
      <c r="AT49" s="109">
        <v>1.8099999999999999E-5</v>
      </c>
      <c r="AU49" s="109">
        <v>1.7499999999999998E-5</v>
      </c>
      <c r="AV49" s="109">
        <v>2.3200000000000001E-5</v>
      </c>
      <c r="AW49" s="109">
        <v>2.09E-5</v>
      </c>
      <c r="AX49" s="109">
        <v>9.2099999999999999E-6</v>
      </c>
      <c r="AY49" s="109">
        <v>9.2099999999999999E-6</v>
      </c>
      <c r="AZ49" s="107">
        <v>1.1896978000000001E-2</v>
      </c>
      <c r="BA49" s="107">
        <v>7.138187E-2</v>
      </c>
      <c r="BB49" s="107">
        <v>7.1381899999999998E-2</v>
      </c>
      <c r="BC49" s="107">
        <v>7.1381899999999998E-2</v>
      </c>
      <c r="BD49" s="107">
        <v>7.138187E-2</v>
      </c>
      <c r="BE49" s="107">
        <v>7.1381899999999998E-2</v>
      </c>
      <c r="BF49" s="107">
        <v>7.1381899999999998E-2</v>
      </c>
      <c r="BG49" s="107">
        <v>7.138187E-2</v>
      </c>
      <c r="BH49" s="107">
        <v>7.138187E-2</v>
      </c>
      <c r="BI49" s="107">
        <v>2.480229E-3</v>
      </c>
      <c r="BJ49" s="107">
        <v>2.2492419999999998E-3</v>
      </c>
      <c r="BK49" s="107">
        <v>3.045056E-3</v>
      </c>
      <c r="BL49" s="107">
        <v>2.71828E-3</v>
      </c>
      <c r="BM49" s="107">
        <v>1.314623E-3</v>
      </c>
      <c r="BN49" s="107">
        <v>1.314623E-3</v>
      </c>
      <c r="BO49" s="107">
        <v>5.4127180000000004E-3</v>
      </c>
      <c r="BP49" s="107">
        <v>1.6238155000000001E-2</v>
      </c>
      <c r="BQ49" s="107">
        <v>1.6238200000000001E-2</v>
      </c>
      <c r="BR49" s="107">
        <v>1.6238200000000001E-2</v>
      </c>
      <c r="BS49" s="107">
        <v>1.6238155000000001E-2</v>
      </c>
      <c r="BT49" s="107">
        <v>1.6238200000000001E-2</v>
      </c>
      <c r="BU49" s="107">
        <v>1.6238200000000001E-2</v>
      </c>
      <c r="BV49" s="107">
        <v>1.6238155000000001E-2</v>
      </c>
      <c r="BW49" s="107">
        <v>1.6238155000000001E-2</v>
      </c>
    </row>
    <row r="50" spans="1:75" x14ac:dyDescent="0.25">
      <c r="A50" s="107">
        <v>49</v>
      </c>
      <c r="B50" s="108">
        <v>0.08</v>
      </c>
      <c r="C50" s="108">
        <v>0.06</v>
      </c>
      <c r="D50" s="108">
        <v>0.08</v>
      </c>
      <c r="E50" s="108">
        <v>0.06</v>
      </c>
      <c r="F50" s="108">
        <v>0.05</v>
      </c>
      <c r="G50" s="108">
        <v>0.05</v>
      </c>
      <c r="H50" s="108">
        <v>81.709999999999994</v>
      </c>
      <c r="I50" s="108">
        <v>17.100000000000001</v>
      </c>
      <c r="J50" s="108">
        <v>0</v>
      </c>
      <c r="K50" s="108">
        <v>0</v>
      </c>
      <c r="L50" s="108">
        <v>4.68</v>
      </c>
      <c r="M50" s="108">
        <v>31.29</v>
      </c>
      <c r="N50" s="108">
        <v>20.55</v>
      </c>
      <c r="O50" s="108">
        <v>20.34</v>
      </c>
      <c r="P50" s="108">
        <v>33.229999999999997</v>
      </c>
      <c r="Q50" s="108">
        <v>29.95</v>
      </c>
      <c r="R50" s="108">
        <v>33.93</v>
      </c>
      <c r="S50" s="108">
        <v>33.130000000000003</v>
      </c>
      <c r="T50" s="108">
        <v>23.79</v>
      </c>
      <c r="U50" s="108">
        <v>0.02</v>
      </c>
      <c r="V50" s="108">
        <v>0.25</v>
      </c>
      <c r="W50" s="108">
        <v>0.17</v>
      </c>
      <c r="X50" s="108">
        <v>0.09</v>
      </c>
      <c r="Y50" s="108">
        <v>12.35</v>
      </c>
      <c r="Z50" s="108">
        <v>12.92</v>
      </c>
      <c r="AA50" s="108">
        <v>9.61</v>
      </c>
      <c r="AB50" s="108">
        <v>31.29</v>
      </c>
      <c r="AC50" s="108">
        <v>20.55</v>
      </c>
      <c r="AD50" s="108">
        <v>20.34</v>
      </c>
      <c r="AE50" s="107">
        <v>2.6914777000000001E-2</v>
      </c>
      <c r="AF50" s="107">
        <v>2.5706768000000001E-2</v>
      </c>
      <c r="AG50" s="107">
        <v>3.3554617000000002E-2</v>
      </c>
      <c r="AH50" s="107">
        <v>2.9965821E-2</v>
      </c>
      <c r="AI50" s="107">
        <v>1.417027E-2</v>
      </c>
      <c r="AJ50" s="107">
        <v>1.417027E-2</v>
      </c>
      <c r="AK50" s="107">
        <v>20.906934660000001</v>
      </c>
      <c r="AL50" s="107">
        <v>29.14204462</v>
      </c>
      <c r="AM50" s="107">
        <v>29.142045</v>
      </c>
      <c r="AN50" s="107">
        <v>29.142045</v>
      </c>
      <c r="AO50" s="107">
        <v>24.77231403</v>
      </c>
      <c r="AP50" s="107">
        <v>24.772314000000001</v>
      </c>
      <c r="AQ50" s="107">
        <v>24.772314000000001</v>
      </c>
      <c r="AR50" s="107">
        <v>29.283446210000001</v>
      </c>
      <c r="AS50" s="107">
        <v>28.77813093</v>
      </c>
      <c r="AT50" s="109">
        <v>1.8099999999999999E-5</v>
      </c>
      <c r="AU50" s="109">
        <v>1.7499999999999998E-5</v>
      </c>
      <c r="AV50" s="109">
        <v>2.3200000000000001E-5</v>
      </c>
      <c r="AW50" s="109">
        <v>2.09E-5</v>
      </c>
      <c r="AX50" s="109">
        <v>9.2099999999999999E-6</v>
      </c>
      <c r="AY50" s="109">
        <v>9.2099999999999999E-6</v>
      </c>
      <c r="AZ50" s="107">
        <v>1.1896978000000001E-2</v>
      </c>
      <c r="BA50" s="107">
        <v>7.138187E-2</v>
      </c>
      <c r="BB50" s="107">
        <v>7.1381899999999998E-2</v>
      </c>
      <c r="BC50" s="107">
        <v>7.1381899999999998E-2</v>
      </c>
      <c r="BD50" s="107">
        <v>7.138187E-2</v>
      </c>
      <c r="BE50" s="107">
        <v>7.1381899999999998E-2</v>
      </c>
      <c r="BF50" s="107">
        <v>7.1381899999999998E-2</v>
      </c>
      <c r="BG50" s="107">
        <v>7.138187E-2</v>
      </c>
      <c r="BH50" s="107">
        <v>7.138187E-2</v>
      </c>
      <c r="BI50" s="107">
        <v>2.480229E-3</v>
      </c>
      <c r="BJ50" s="107">
        <v>2.2492419999999998E-3</v>
      </c>
      <c r="BK50" s="107">
        <v>3.045056E-3</v>
      </c>
      <c r="BL50" s="107">
        <v>2.71828E-3</v>
      </c>
      <c r="BM50" s="107">
        <v>1.314623E-3</v>
      </c>
      <c r="BN50" s="107">
        <v>1.314623E-3</v>
      </c>
      <c r="BO50" s="107">
        <v>5.4127180000000004E-3</v>
      </c>
      <c r="BP50" s="107">
        <v>1.6238155000000001E-2</v>
      </c>
      <c r="BQ50" s="107">
        <v>1.6238200000000001E-2</v>
      </c>
      <c r="BR50" s="107">
        <v>1.6238200000000001E-2</v>
      </c>
      <c r="BS50" s="107">
        <v>1.6238155000000001E-2</v>
      </c>
      <c r="BT50" s="107">
        <v>1.6238200000000001E-2</v>
      </c>
      <c r="BU50" s="107">
        <v>1.6238200000000001E-2</v>
      </c>
      <c r="BV50" s="107">
        <v>1.6238155000000001E-2</v>
      </c>
      <c r="BW50" s="107">
        <v>1.6238155000000001E-2</v>
      </c>
    </row>
    <row r="51" spans="1:75" x14ac:dyDescent="0.25">
      <c r="A51" s="107">
        <v>50</v>
      </c>
      <c r="B51" s="108">
        <v>0.08</v>
      </c>
      <c r="C51" s="108">
        <v>0.06</v>
      </c>
      <c r="D51" s="108">
        <v>0.08</v>
      </c>
      <c r="E51" s="108">
        <v>0.06</v>
      </c>
      <c r="F51" s="108">
        <v>0.05</v>
      </c>
      <c r="G51" s="108">
        <v>0.05</v>
      </c>
      <c r="H51" s="108">
        <v>81.709999999999994</v>
      </c>
      <c r="I51" s="108">
        <v>17.100000000000001</v>
      </c>
      <c r="J51" s="108">
        <v>0</v>
      </c>
      <c r="K51" s="108">
        <v>0</v>
      </c>
      <c r="L51" s="108">
        <v>4.68</v>
      </c>
      <c r="M51" s="108">
        <v>31.29</v>
      </c>
      <c r="N51" s="108">
        <v>20.55</v>
      </c>
      <c r="O51" s="108">
        <v>20.34</v>
      </c>
      <c r="P51" s="108">
        <v>33.229999999999997</v>
      </c>
      <c r="Q51" s="108">
        <v>29.95</v>
      </c>
      <c r="R51" s="108">
        <v>33.93</v>
      </c>
      <c r="S51" s="108">
        <v>33.130000000000003</v>
      </c>
      <c r="T51" s="108">
        <v>23.79</v>
      </c>
      <c r="U51" s="108">
        <v>0.02</v>
      </c>
      <c r="V51" s="108">
        <v>0.25</v>
      </c>
      <c r="W51" s="108">
        <v>0.17</v>
      </c>
      <c r="X51" s="108">
        <v>0.09</v>
      </c>
      <c r="Y51" s="108">
        <v>12.35</v>
      </c>
      <c r="Z51" s="108">
        <v>12.92</v>
      </c>
      <c r="AA51" s="108">
        <v>9.61</v>
      </c>
      <c r="AB51" s="108">
        <v>31.29</v>
      </c>
      <c r="AC51" s="108">
        <v>20.55</v>
      </c>
      <c r="AD51" s="108">
        <v>20.34</v>
      </c>
      <c r="AE51" s="107">
        <v>2.6914777000000001E-2</v>
      </c>
      <c r="AF51" s="107">
        <v>2.5706768000000001E-2</v>
      </c>
      <c r="AG51" s="107">
        <v>3.3554617000000002E-2</v>
      </c>
      <c r="AH51" s="107">
        <v>2.9965821E-2</v>
      </c>
      <c r="AI51" s="107">
        <v>1.417027E-2</v>
      </c>
      <c r="AJ51" s="107">
        <v>1.417027E-2</v>
      </c>
      <c r="AK51" s="107">
        <v>20.906934660000001</v>
      </c>
      <c r="AL51" s="107">
        <v>29.14204462</v>
      </c>
      <c r="AM51" s="107">
        <v>29.142045</v>
      </c>
      <c r="AN51" s="107">
        <v>29.142045</v>
      </c>
      <c r="AO51" s="107">
        <v>24.77231403</v>
      </c>
      <c r="AP51" s="107">
        <v>24.772314000000001</v>
      </c>
      <c r="AQ51" s="107">
        <v>24.772314000000001</v>
      </c>
      <c r="AR51" s="107">
        <v>29.283446210000001</v>
      </c>
      <c r="AS51" s="107">
        <v>28.77813093</v>
      </c>
      <c r="AT51" s="109">
        <v>1.8099999999999999E-5</v>
      </c>
      <c r="AU51" s="109">
        <v>1.7499999999999998E-5</v>
      </c>
      <c r="AV51" s="109">
        <v>2.3200000000000001E-5</v>
      </c>
      <c r="AW51" s="109">
        <v>2.09E-5</v>
      </c>
      <c r="AX51" s="109">
        <v>9.2099999999999999E-6</v>
      </c>
      <c r="AY51" s="109">
        <v>9.2099999999999999E-6</v>
      </c>
      <c r="AZ51" s="107">
        <v>1.1896978000000001E-2</v>
      </c>
      <c r="BA51" s="107">
        <v>7.138187E-2</v>
      </c>
      <c r="BB51" s="107">
        <v>7.1381899999999998E-2</v>
      </c>
      <c r="BC51" s="107">
        <v>7.1381899999999998E-2</v>
      </c>
      <c r="BD51" s="107">
        <v>7.138187E-2</v>
      </c>
      <c r="BE51" s="107">
        <v>7.1381899999999998E-2</v>
      </c>
      <c r="BF51" s="107">
        <v>7.1381899999999998E-2</v>
      </c>
      <c r="BG51" s="107">
        <v>7.138187E-2</v>
      </c>
      <c r="BH51" s="107">
        <v>7.138187E-2</v>
      </c>
      <c r="BI51" s="107">
        <v>2.480229E-3</v>
      </c>
      <c r="BJ51" s="107">
        <v>2.2492419999999998E-3</v>
      </c>
      <c r="BK51" s="107">
        <v>3.045056E-3</v>
      </c>
      <c r="BL51" s="107">
        <v>2.71828E-3</v>
      </c>
      <c r="BM51" s="107">
        <v>1.314623E-3</v>
      </c>
      <c r="BN51" s="107">
        <v>1.314623E-3</v>
      </c>
      <c r="BO51" s="107">
        <v>5.4127180000000004E-3</v>
      </c>
      <c r="BP51" s="107">
        <v>1.6238155000000001E-2</v>
      </c>
      <c r="BQ51" s="107">
        <v>1.6238200000000001E-2</v>
      </c>
      <c r="BR51" s="107">
        <v>1.6238200000000001E-2</v>
      </c>
      <c r="BS51" s="107">
        <v>1.6238155000000001E-2</v>
      </c>
      <c r="BT51" s="107">
        <v>1.6238200000000001E-2</v>
      </c>
      <c r="BU51" s="107">
        <v>1.6238200000000001E-2</v>
      </c>
      <c r="BV51" s="107">
        <v>1.6238155000000001E-2</v>
      </c>
      <c r="BW51" s="107">
        <v>1.6238155000000001E-2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4C83-FBE2-4371-949A-1A7D90AF74E5}">
  <dimension ref="A1:BR58"/>
  <sheetViews>
    <sheetView workbookViewId="0">
      <selection activeCell="A8" sqref="A8"/>
    </sheetView>
  </sheetViews>
  <sheetFormatPr defaultRowHeight="15" x14ac:dyDescent="0.25"/>
  <cols>
    <col min="27" max="27" width="42.5703125" customWidth="1"/>
    <col min="50" max="50" width="20" customWidth="1"/>
    <col min="69" max="69" width="11.28515625" customWidth="1"/>
  </cols>
  <sheetData>
    <row r="1" spans="1:70" x14ac:dyDescent="0.25">
      <c r="S1" t="s">
        <v>72</v>
      </c>
      <c r="T1" t="s">
        <v>72</v>
      </c>
      <c r="U1" t="s">
        <v>72</v>
      </c>
      <c r="V1" t="s">
        <v>73</v>
      </c>
      <c r="W1" t="s">
        <v>73</v>
      </c>
      <c r="X1" t="s">
        <v>73</v>
      </c>
      <c r="Y1" t="s">
        <v>74</v>
      </c>
      <c r="Z1" t="s">
        <v>74</v>
      </c>
      <c r="AA1" t="s">
        <v>74</v>
      </c>
    </row>
    <row r="2" spans="1:70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 t="s">
        <v>75</v>
      </c>
      <c r="T2" s="43" t="s">
        <v>75</v>
      </c>
      <c r="U2" s="43" t="s">
        <v>75</v>
      </c>
      <c r="V2" s="43" t="s">
        <v>75</v>
      </c>
      <c r="W2" s="43" t="s">
        <v>75</v>
      </c>
      <c r="X2" s="43" t="s">
        <v>75</v>
      </c>
      <c r="Y2" s="43" t="s">
        <v>75</v>
      </c>
      <c r="Z2" s="43" t="s">
        <v>75</v>
      </c>
      <c r="AA2" s="43" t="s">
        <v>75</v>
      </c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</row>
    <row r="3" spans="1:70" s="42" customFormat="1" ht="45" x14ac:dyDescent="0.25">
      <c r="A3" s="42" t="s">
        <v>76</v>
      </c>
      <c r="B3" s="42" t="s">
        <v>77</v>
      </c>
      <c r="C3" s="42" t="s">
        <v>78</v>
      </c>
      <c r="D3" s="42" t="s">
        <v>79</v>
      </c>
      <c r="E3" s="42" t="s">
        <v>80</v>
      </c>
      <c r="F3" s="42" t="s">
        <v>81</v>
      </c>
      <c r="G3" s="44" t="s">
        <v>82</v>
      </c>
      <c r="H3" s="44" t="s">
        <v>83</v>
      </c>
      <c r="I3" s="42" t="s">
        <v>84</v>
      </c>
      <c r="J3" s="42" t="s">
        <v>85</v>
      </c>
      <c r="K3" s="42" t="s">
        <v>86</v>
      </c>
      <c r="L3" s="42" t="s">
        <v>87</v>
      </c>
      <c r="M3" s="42" t="s">
        <v>88</v>
      </c>
      <c r="N3" s="42" t="s">
        <v>89</v>
      </c>
      <c r="O3" s="42" t="s">
        <v>90</v>
      </c>
      <c r="P3" s="42" t="s">
        <v>91</v>
      </c>
      <c r="Q3" s="42" t="s">
        <v>92</v>
      </c>
      <c r="R3" s="44" t="str">
        <f>Originial!AE16</f>
        <v>Water</v>
      </c>
      <c r="S3" s="44" t="str">
        <f>Originial!AO16</f>
        <v>Res</v>
      </c>
      <c r="T3" s="44" t="str">
        <f>Originial!AP16</f>
        <v>Commercial</v>
      </c>
      <c r="U3" s="44" t="str">
        <f>Originial!AQ16</f>
        <v>Industrial</v>
      </c>
      <c r="V3" s="44" t="str">
        <f>Originial!AT16</f>
        <v>Res</v>
      </c>
      <c r="W3" s="44" t="str">
        <f>Originial!AU16</f>
        <v>Commercial</v>
      </c>
      <c r="X3" s="44" t="str">
        <f>Originial!AV16</f>
        <v>Industrial</v>
      </c>
      <c r="Y3" s="44" t="str">
        <f>Originial!AY16</f>
        <v>Res</v>
      </c>
      <c r="Z3" s="44" t="str">
        <f>Originial!AZ16</f>
        <v>Commercial</v>
      </c>
      <c r="AA3" s="44" t="str">
        <f>Originial!BA16</f>
        <v>Industrial</v>
      </c>
      <c r="AB3" s="42" t="s">
        <v>77</v>
      </c>
      <c r="AC3" s="42" t="s">
        <v>78</v>
      </c>
      <c r="AD3" s="42" t="s">
        <v>79</v>
      </c>
      <c r="AE3" s="42" t="s">
        <v>80</v>
      </c>
      <c r="AF3" s="42" t="s">
        <v>81</v>
      </c>
      <c r="AG3" s="42" t="s">
        <v>84</v>
      </c>
      <c r="AH3" s="42" t="s">
        <v>85</v>
      </c>
      <c r="AI3" s="42" t="s">
        <v>86</v>
      </c>
      <c r="AJ3" s="42" t="s">
        <v>87</v>
      </c>
      <c r="AK3" s="42" t="s">
        <v>88</v>
      </c>
      <c r="AL3" s="42" t="s">
        <v>89</v>
      </c>
      <c r="AM3" s="42" t="s">
        <v>90</v>
      </c>
      <c r="AN3" s="42" t="s">
        <v>91</v>
      </c>
      <c r="AO3" s="42" t="s">
        <v>92</v>
      </c>
      <c r="AP3" s="42" t="s">
        <v>77</v>
      </c>
      <c r="AQ3" s="42" t="s">
        <v>78</v>
      </c>
      <c r="AR3" s="42" t="s">
        <v>79</v>
      </c>
      <c r="AS3" s="42" t="s">
        <v>80</v>
      </c>
      <c r="AT3" s="42" t="s">
        <v>81</v>
      </c>
      <c r="AU3" s="42" t="s">
        <v>84</v>
      </c>
      <c r="AV3" s="42" t="s">
        <v>85</v>
      </c>
      <c r="AW3" s="42" t="s">
        <v>86</v>
      </c>
      <c r="AX3" s="42" t="s">
        <v>87</v>
      </c>
      <c r="AY3" s="42" t="s">
        <v>88</v>
      </c>
      <c r="AZ3" s="42" t="s">
        <v>89</v>
      </c>
      <c r="BA3" s="42" t="s">
        <v>90</v>
      </c>
      <c r="BB3" s="42" t="s">
        <v>91</v>
      </c>
      <c r="BC3" s="42" t="s">
        <v>92</v>
      </c>
      <c r="BD3" s="42" t="s">
        <v>77</v>
      </c>
      <c r="BE3" s="42" t="s">
        <v>78</v>
      </c>
      <c r="BF3" s="42" t="s">
        <v>79</v>
      </c>
      <c r="BG3" s="42" t="s">
        <v>80</v>
      </c>
      <c r="BH3" s="42" t="s">
        <v>81</v>
      </c>
      <c r="BI3" s="42" t="s">
        <v>84</v>
      </c>
      <c r="BJ3" s="42" t="s">
        <v>85</v>
      </c>
      <c r="BK3" s="42" t="s">
        <v>86</v>
      </c>
      <c r="BL3" s="42" t="s">
        <v>87</v>
      </c>
      <c r="BM3" s="42" t="s">
        <v>88</v>
      </c>
      <c r="BN3" s="42" t="s">
        <v>89</v>
      </c>
      <c r="BO3" s="42" t="s">
        <v>90</v>
      </c>
      <c r="BP3" s="42" t="s">
        <v>91</v>
      </c>
      <c r="BQ3" s="42" t="s">
        <v>92</v>
      </c>
    </row>
    <row r="4" spans="1:70" x14ac:dyDescent="0.25">
      <c r="A4" s="43" t="s">
        <v>93</v>
      </c>
      <c r="B4" s="1" t="str">
        <f>Originial!B19</f>
        <v>$/kWh</v>
      </c>
      <c r="C4" s="1" t="str">
        <f>Originial!C19</f>
        <v>$/kWh</v>
      </c>
      <c r="D4" s="1" t="str">
        <f>Originial!D19</f>
        <v>$/kWh</v>
      </c>
      <c r="E4" s="1" t="str">
        <f>Originial!E19</f>
        <v>$/kWh</v>
      </c>
      <c r="F4" s="1" t="str">
        <f>Originial!F19</f>
        <v>$/kWh</v>
      </c>
      <c r="G4" s="1" t="str">
        <f>Originial!H19</f>
        <v>$/kW-yr</v>
      </c>
      <c r="H4" s="1" t="str">
        <f>Originial!J19</f>
        <v>$/kW-yr</v>
      </c>
      <c r="I4" s="1" t="str">
        <f>Originial!N19</f>
        <v>$/MMBtu</v>
      </c>
      <c r="J4" s="1" t="str">
        <f>Originial!O19</f>
        <v>$/MMBtu</v>
      </c>
      <c r="K4" s="1" t="str">
        <f>Originial!P19</f>
        <v>$/MMBtu</v>
      </c>
      <c r="L4" s="1" t="str">
        <f>Originial!Q19</f>
        <v>$/MMBtu</v>
      </c>
      <c r="M4" s="1" t="str">
        <f>Originial!R19</f>
        <v>$/MMBtu</v>
      </c>
      <c r="N4" s="1" t="str">
        <f>Originial!S19</f>
        <v>$/MMBtu</v>
      </c>
      <c r="O4" s="1" t="str">
        <f>Originial!T19</f>
        <v>$/MMBtu</v>
      </c>
      <c r="P4" s="1" t="str">
        <f>Originial!U19</f>
        <v>$/MMBtu</v>
      </c>
      <c r="Q4" s="1" t="str">
        <f>Originial!V19</f>
        <v>$/MMBtu</v>
      </c>
      <c r="R4" s="1" t="str">
        <f>Originial!AE19</f>
        <v>$/Gallon</v>
      </c>
      <c r="S4" s="1" t="str">
        <f>Originial!AO19</f>
        <v>$/kWh</v>
      </c>
      <c r="T4" s="1" t="str">
        <f>Originial!AP19</f>
        <v>$/kWh</v>
      </c>
      <c r="U4" s="1" t="str">
        <f>Originial!AQ19</f>
        <v>$/kWh</v>
      </c>
      <c r="V4" s="1" t="str">
        <f>Originial!AT19</f>
        <v>$/MMBtu</v>
      </c>
      <c r="W4" s="1" t="str">
        <f>Originial!AU19</f>
        <v>$/MMBtu</v>
      </c>
      <c r="X4" s="1" t="str">
        <f>Originial!AV19</f>
        <v>$/MMBtu</v>
      </c>
      <c r="Y4" s="1" t="str">
        <f>Originial!AY19</f>
        <v>$/MMBtu</v>
      </c>
      <c r="Z4" s="1" t="str">
        <f>Originial!AZ19</f>
        <v>$/MMBtu</v>
      </c>
      <c r="AA4" s="1" t="str">
        <f>Originial!BA19</f>
        <v>$/MMBtu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96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97</v>
      </c>
    </row>
    <row r="5" spans="1:70" x14ac:dyDescent="0.25">
      <c r="A5" s="43" t="s">
        <v>98</v>
      </c>
      <c r="B5" s="1" t="s">
        <v>99</v>
      </c>
      <c r="C5" s="1" t="s">
        <v>99</v>
      </c>
      <c r="D5" s="1" t="s">
        <v>99</v>
      </c>
      <c r="E5" s="1" t="s">
        <v>99</v>
      </c>
      <c r="F5" s="1" t="s">
        <v>99</v>
      </c>
      <c r="G5" s="1" t="s">
        <v>100</v>
      </c>
      <c r="H5" s="1" t="s">
        <v>100</v>
      </c>
      <c r="I5" s="1" t="s">
        <v>101</v>
      </c>
      <c r="J5" s="1" t="s">
        <v>101</v>
      </c>
      <c r="K5" s="1" t="s">
        <v>101</v>
      </c>
      <c r="L5" s="1" t="s">
        <v>101</v>
      </c>
      <c r="M5" s="1" t="s">
        <v>101</v>
      </c>
      <c r="N5" s="1" t="s">
        <v>101</v>
      </c>
      <c r="O5" s="1" t="s">
        <v>101</v>
      </c>
      <c r="P5" s="1" t="s">
        <v>101</v>
      </c>
      <c r="Q5" s="1" t="s">
        <v>101</v>
      </c>
      <c r="R5" s="1" t="s">
        <v>102</v>
      </c>
      <c r="S5" s="1" t="s">
        <v>99</v>
      </c>
      <c r="T5" s="1" t="s">
        <v>99</v>
      </c>
      <c r="U5" s="1" t="s">
        <v>99</v>
      </c>
      <c r="V5" s="1" t="s">
        <v>101</v>
      </c>
      <c r="W5" s="1" t="s">
        <v>101</v>
      </c>
      <c r="X5" s="1" t="s">
        <v>101</v>
      </c>
      <c r="Y5" s="1" t="s">
        <v>101</v>
      </c>
      <c r="Z5" s="1" t="s">
        <v>101</v>
      </c>
      <c r="AA5" s="1" t="s">
        <v>101</v>
      </c>
      <c r="AB5" s="1" t="s">
        <v>101</v>
      </c>
      <c r="AC5" s="1" t="s">
        <v>101</v>
      </c>
      <c r="AD5" s="1" t="s">
        <v>101</v>
      </c>
      <c r="AE5" s="1" t="s">
        <v>101</v>
      </c>
      <c r="AF5" s="1" t="s">
        <v>101</v>
      </c>
      <c r="AG5" s="1" t="s">
        <v>101</v>
      </c>
      <c r="AH5" s="1" t="s">
        <v>101</v>
      </c>
      <c r="AI5" s="1" t="s">
        <v>101</v>
      </c>
      <c r="AJ5" s="1" t="s">
        <v>101</v>
      </c>
      <c r="AK5" s="1" t="s">
        <v>101</v>
      </c>
      <c r="AL5" s="1" t="s">
        <v>101</v>
      </c>
      <c r="AM5" s="1" t="s">
        <v>101</v>
      </c>
      <c r="AN5" s="1" t="s">
        <v>101</v>
      </c>
      <c r="AO5" s="1" t="s">
        <v>101</v>
      </c>
      <c r="AP5" s="1" t="s">
        <v>101</v>
      </c>
      <c r="AQ5" s="1" t="s">
        <v>101</v>
      </c>
      <c r="AR5" s="1" t="s">
        <v>101</v>
      </c>
      <c r="AS5" s="1" t="s">
        <v>101</v>
      </c>
      <c r="AT5" s="1" t="s">
        <v>101</v>
      </c>
      <c r="AU5" s="1" t="s">
        <v>101</v>
      </c>
      <c r="AV5" s="1" t="s">
        <v>101</v>
      </c>
      <c r="AW5" s="1" t="s">
        <v>101</v>
      </c>
      <c r="AX5" s="1" t="s">
        <v>101</v>
      </c>
      <c r="AY5" s="1" t="s">
        <v>101</v>
      </c>
      <c r="AZ5" s="1" t="s">
        <v>101</v>
      </c>
      <c r="BA5" s="1" t="s">
        <v>101</v>
      </c>
      <c r="BB5" s="1" t="s">
        <v>101</v>
      </c>
      <c r="BC5" s="1" t="s">
        <v>101</v>
      </c>
      <c r="BD5" s="1" t="s">
        <v>101</v>
      </c>
      <c r="BE5" s="1" t="s">
        <v>101</v>
      </c>
      <c r="BF5" s="1" t="s">
        <v>101</v>
      </c>
      <c r="BG5" s="1" t="s">
        <v>101</v>
      </c>
      <c r="BH5" s="1" t="s">
        <v>101</v>
      </c>
      <c r="BI5" s="1" t="s">
        <v>101</v>
      </c>
      <c r="BJ5" s="1" t="s">
        <v>101</v>
      </c>
      <c r="BK5" s="1" t="s">
        <v>101</v>
      </c>
      <c r="BL5" s="1" t="s">
        <v>101</v>
      </c>
      <c r="BM5" s="1" t="s">
        <v>101</v>
      </c>
      <c r="BN5" s="1" t="s">
        <v>101</v>
      </c>
      <c r="BO5" s="1" t="s">
        <v>101</v>
      </c>
      <c r="BP5" s="1" t="s">
        <v>101</v>
      </c>
      <c r="BQ5" s="1" t="s">
        <v>101</v>
      </c>
    </row>
    <row r="6" spans="1:70" x14ac:dyDescent="0.25">
      <c r="A6" s="43" t="s">
        <v>103</v>
      </c>
      <c r="B6" s="43" t="s">
        <v>104</v>
      </c>
      <c r="C6" s="43" t="s">
        <v>105</v>
      </c>
      <c r="D6" s="43" t="s">
        <v>106</v>
      </c>
      <c r="E6" s="43" t="s">
        <v>107</v>
      </c>
      <c r="F6" s="43" t="s">
        <v>108</v>
      </c>
      <c r="G6" s="43" t="s">
        <v>109</v>
      </c>
      <c r="H6" s="43" t="s">
        <v>110</v>
      </c>
      <c r="I6" s="43" t="s">
        <v>111</v>
      </c>
      <c r="J6" s="43" t="s">
        <v>112</v>
      </c>
      <c r="K6" s="43" t="s">
        <v>113</v>
      </c>
      <c r="L6" s="43" t="s">
        <v>114</v>
      </c>
      <c r="M6" s="43" t="s">
        <v>115</v>
      </c>
      <c r="N6" s="43" t="s">
        <v>116</v>
      </c>
      <c r="O6" s="43" t="s">
        <v>117</v>
      </c>
      <c r="P6" s="43" t="s">
        <v>118</v>
      </c>
      <c r="Q6" s="43" t="s">
        <v>119</v>
      </c>
      <c r="R6" s="43" t="s">
        <v>120</v>
      </c>
      <c r="S6" s="43" t="s">
        <v>121</v>
      </c>
      <c r="T6" s="43" t="s">
        <v>122</v>
      </c>
      <c r="U6" s="43" t="s">
        <v>123</v>
      </c>
      <c r="V6" s="43" t="s">
        <v>124</v>
      </c>
      <c r="W6" s="43" t="s">
        <v>125</v>
      </c>
      <c r="X6" s="43" t="s">
        <v>126</v>
      </c>
      <c r="Y6" s="43" t="s">
        <v>124</v>
      </c>
      <c r="Z6" s="43" t="s">
        <v>125</v>
      </c>
      <c r="AA6" s="43" t="s">
        <v>126</v>
      </c>
      <c r="AB6" s="43" t="s">
        <v>127</v>
      </c>
      <c r="AC6" s="43" t="s">
        <v>128</v>
      </c>
      <c r="AD6" s="43" t="s">
        <v>129</v>
      </c>
      <c r="AE6" s="43" t="s">
        <v>130</v>
      </c>
      <c r="AF6" s="43" t="s">
        <v>131</v>
      </c>
      <c r="AG6" s="43" t="s">
        <v>132</v>
      </c>
      <c r="AH6" s="43" t="s">
        <v>133</v>
      </c>
      <c r="AI6" s="43" t="s">
        <v>134</v>
      </c>
      <c r="AJ6" s="43" t="s">
        <v>135</v>
      </c>
      <c r="AK6" s="43" t="s">
        <v>136</v>
      </c>
      <c r="AL6" s="43" t="s">
        <v>137</v>
      </c>
      <c r="AM6" s="43" t="s">
        <v>138</v>
      </c>
      <c r="AN6" s="43" t="s">
        <v>139</v>
      </c>
      <c r="AO6" s="43" t="s">
        <v>140</v>
      </c>
      <c r="AP6" s="43" t="s">
        <v>141</v>
      </c>
      <c r="AQ6" s="43" t="s">
        <v>142</v>
      </c>
      <c r="AR6" s="43" t="s">
        <v>143</v>
      </c>
      <c r="AS6" s="43" t="s">
        <v>144</v>
      </c>
      <c r="AT6" s="43" t="s">
        <v>145</v>
      </c>
      <c r="AU6" s="43" t="s">
        <v>146</v>
      </c>
      <c r="AV6" s="43" t="s">
        <v>147</v>
      </c>
      <c r="AW6" s="43" t="s">
        <v>148</v>
      </c>
      <c r="AX6" s="43" t="s">
        <v>149</v>
      </c>
      <c r="AY6" s="43" t="s">
        <v>150</v>
      </c>
      <c r="AZ6" s="43" t="s">
        <v>151</v>
      </c>
      <c r="BA6" s="43" t="s">
        <v>152</v>
      </c>
      <c r="BB6" s="43" t="s">
        <v>153</v>
      </c>
      <c r="BC6" s="43" t="s">
        <v>154</v>
      </c>
      <c r="BD6" s="43" t="s">
        <v>155</v>
      </c>
      <c r="BE6" s="43" t="s">
        <v>156</v>
      </c>
      <c r="BF6" s="43" t="s">
        <v>157</v>
      </c>
      <c r="BG6" s="43" t="s">
        <v>158</v>
      </c>
      <c r="BH6" s="43" t="s">
        <v>159</v>
      </c>
      <c r="BI6" s="43" t="s">
        <v>160</v>
      </c>
      <c r="BJ6" s="43" t="s">
        <v>161</v>
      </c>
      <c r="BK6" s="43" t="s">
        <v>162</v>
      </c>
      <c r="BL6" s="43" t="s">
        <v>163</v>
      </c>
      <c r="BM6" s="43" t="s">
        <v>164</v>
      </c>
      <c r="BN6" s="43" t="s">
        <v>165</v>
      </c>
      <c r="BO6" s="43" t="s">
        <v>166</v>
      </c>
      <c r="BP6" s="43" t="s">
        <v>167</v>
      </c>
      <c r="BQ6" s="43" t="s">
        <v>168</v>
      </c>
    </row>
    <row r="7" spans="1:70" x14ac:dyDescent="0.25">
      <c r="A7" s="43"/>
      <c r="B7" s="43" t="str">
        <f>_xlfn.CONCAT(LOWER(B3),"_",B5)</f>
        <v>summer_on-peak_usdperkWh</v>
      </c>
      <c r="C7" s="43" t="str">
        <f t="shared" ref="C7:R7" si="0">_xlfn.CONCAT(LOWER(C3),"_",C5)</f>
        <v>summer_off-peak_usdperkWh</v>
      </c>
      <c r="D7" s="43" t="str">
        <f t="shared" si="0"/>
        <v>winter_on-peak_usdperkWh</v>
      </c>
      <c r="E7" s="43" t="str">
        <f t="shared" si="0"/>
        <v>winter_off-peak_usdperkWh</v>
      </c>
      <c r="F7" s="43" t="str">
        <f t="shared" si="0"/>
        <v>shoulder_on-peak_usdperkWh</v>
      </c>
      <c r="G7" s="43" t="str">
        <f t="shared" si="0"/>
        <v>summer_gener_capacity_usdperkW-yr</v>
      </c>
      <c r="H7" s="43" t="str">
        <f t="shared" si="0"/>
        <v>summer_td_usdperkW-yr</v>
      </c>
      <c r="I7" s="43" t="str">
        <f t="shared" si="0"/>
        <v>natural_gas_usdperMMBtu</v>
      </c>
      <c r="J7" s="43" t="str">
        <f t="shared" si="0"/>
        <v>res_fuel_oil_usdperMMBtu</v>
      </c>
      <c r="K7" s="43" t="str">
        <f t="shared" si="0"/>
        <v>com_fuel_oil_usdperMMBtu</v>
      </c>
      <c r="L7" s="43" t="str">
        <f t="shared" si="0"/>
        <v>ind_fuel_oil_usdperMMBtu</v>
      </c>
      <c r="M7" s="43" t="str">
        <f t="shared" si="0"/>
        <v>res_propane_usdperMMBtu</v>
      </c>
      <c r="N7" s="43" t="str">
        <f t="shared" si="0"/>
        <v>com_propane_usdperMMBtu</v>
      </c>
      <c r="O7" s="43" t="str">
        <f t="shared" si="0"/>
        <v>ind_propane_usdperMMBtu</v>
      </c>
      <c r="P7" s="43" t="str">
        <f t="shared" si="0"/>
        <v>diesel_transportation_usdperMMBtu</v>
      </c>
      <c r="Q7" s="43" t="str">
        <f t="shared" si="0"/>
        <v>gasoline_transportation_usdperMMBtu</v>
      </c>
      <c r="R7" s="43" t="str">
        <f t="shared" si="0"/>
        <v>water_usdpergallon</v>
      </c>
      <c r="S7" s="43" t="str">
        <f>_xlfn.CONCAT(S1,"_",S2,"_",LOWER(S3),"_",S5)</f>
        <v>Electricity_Retail_Prices_res_usdperkWh</v>
      </c>
      <c r="T7" s="43" t="str">
        <f t="shared" ref="T7:AA7" si="1">_xlfn.CONCAT(T1,"_",T2,"_",LOWER(T3),"_",T5)</f>
        <v>Electricity_Retail_Prices_commercial_usdperkWh</v>
      </c>
      <c r="U7" s="43" t="str">
        <f t="shared" si="1"/>
        <v>Electricity_Retail_Prices_industrial_usdperkWh</v>
      </c>
      <c r="V7" s="43" t="str">
        <f t="shared" si="1"/>
        <v>Natural_gas_Retail_Prices_res_usdperMMBtu</v>
      </c>
      <c r="W7" s="43" t="str">
        <f t="shared" si="1"/>
        <v>Natural_gas_Retail_Prices_commercial_usdperMMBtu</v>
      </c>
      <c r="X7" s="43" t="str">
        <f t="shared" si="1"/>
        <v>Natural_gas_Retail_Prices_industrial_usdperMMBtu</v>
      </c>
      <c r="Y7" s="43" t="str">
        <f t="shared" si="1"/>
        <v>Heating Oil_Retail_Prices_res_usdperMMBtu</v>
      </c>
      <c r="Z7" s="43" t="str">
        <f t="shared" si="1"/>
        <v>Heating Oil_Retail_Prices_commercial_usdperMMBtu</v>
      </c>
      <c r="AA7" s="43" t="str">
        <f t="shared" si="1"/>
        <v>Heating Oil_Retail_Prices_industrial_usdperMMBtu</v>
      </c>
      <c r="AB7" s="43" t="str">
        <f>_xlfn.CONCAT(LOWER(AB3),"_",AB5,"_",LOWER(AB4))</f>
        <v>summer_on-peak_usdperMMBtu_carbon</v>
      </c>
      <c r="AC7" s="43" t="str">
        <f t="shared" ref="AC7:BQ7" si="2">_xlfn.CONCAT(LOWER(AC3),"_",AC5,"_",LOWER(AC4))</f>
        <v>summer_off-peak_usdperMMBtu_carbon</v>
      </c>
      <c r="AD7" s="43" t="str">
        <f t="shared" si="2"/>
        <v>winter_on-peak_usdperMMBtu_carbon</v>
      </c>
      <c r="AE7" s="43" t="str">
        <f t="shared" si="2"/>
        <v>winter_off-peak_usdperMMBtu_carbon</v>
      </c>
      <c r="AF7" s="43" t="str">
        <f t="shared" si="2"/>
        <v>shoulder_on-peak_usdperMMBtu_carbon</v>
      </c>
      <c r="AG7" s="43" t="str">
        <f t="shared" si="2"/>
        <v>natural_gas_usdperMMBtu_carbon</v>
      </c>
      <c r="AH7" s="43" t="str">
        <f t="shared" si="2"/>
        <v>res_fuel_oil_usdperMMBtu_carbon</v>
      </c>
      <c r="AI7" s="43" t="str">
        <f t="shared" si="2"/>
        <v>com_fuel_oil_usdperMMBtu_carbon</v>
      </c>
      <c r="AJ7" s="43" t="str">
        <f t="shared" si="2"/>
        <v>ind_fuel_oil_usdperMMBtu_carbon</v>
      </c>
      <c r="AK7" s="43" t="str">
        <f t="shared" si="2"/>
        <v>res_propane_usdperMMBtu_carbon</v>
      </c>
      <c r="AL7" s="43" t="str">
        <f t="shared" si="2"/>
        <v>com_propane_usdperMMBtu_carbon</v>
      </c>
      <c r="AM7" s="43" t="str">
        <f t="shared" si="2"/>
        <v>ind_propane_usdperMMBtu_carbon</v>
      </c>
      <c r="AN7" s="43" t="str">
        <f t="shared" si="2"/>
        <v>diesel_transportation_usdperMMBtu_carbon</v>
      </c>
      <c r="AO7" s="43" t="str">
        <f t="shared" si="2"/>
        <v>gasoline_transportation_usdperMMBtu_carbon</v>
      </c>
      <c r="AP7" s="43" t="str">
        <f t="shared" si="2"/>
        <v>summer_on-peak_usdperMMBtu_n2o</v>
      </c>
      <c r="AQ7" s="43" t="str">
        <f t="shared" si="2"/>
        <v>summer_off-peak_usdperMMBtu_n2o</v>
      </c>
      <c r="AR7" s="43" t="str">
        <f t="shared" si="2"/>
        <v>winter_on-peak_usdperMMBtu_n2o</v>
      </c>
      <c r="AS7" s="43" t="str">
        <f t="shared" si="2"/>
        <v>winter_off-peak_usdperMMBtu_n2o</v>
      </c>
      <c r="AT7" s="43" t="str">
        <f t="shared" si="2"/>
        <v>shoulder_on-peak_usdperMMBtu_n2o</v>
      </c>
      <c r="AU7" s="43" t="str">
        <f t="shared" si="2"/>
        <v>natural_gas_usdperMMBtu_n2o</v>
      </c>
      <c r="AV7" s="43" t="str">
        <f t="shared" si="2"/>
        <v>res_fuel_oil_usdperMMBtu_n2o</v>
      </c>
      <c r="AW7" s="43" t="str">
        <f t="shared" si="2"/>
        <v>com_fuel_oil_usdperMMBtu_n2o</v>
      </c>
      <c r="AX7" s="43" t="str">
        <f t="shared" si="2"/>
        <v>ind_fuel_oil_usdperMMBtu_n2o</v>
      </c>
      <c r="AY7" s="43" t="str">
        <f t="shared" si="2"/>
        <v>res_propane_usdperMMBtu_n2o</v>
      </c>
      <c r="AZ7" s="43" t="str">
        <f t="shared" si="2"/>
        <v>com_propane_usdperMMBtu_n2o</v>
      </c>
      <c r="BA7" s="43" t="str">
        <f t="shared" si="2"/>
        <v>ind_propane_usdperMMBtu_n2o</v>
      </c>
      <c r="BB7" s="43" t="str">
        <f t="shared" si="2"/>
        <v>diesel_transportation_usdperMMBtu_n2o</v>
      </c>
      <c r="BC7" s="43" t="str">
        <f t="shared" si="2"/>
        <v>gasoline_transportation_usdperMMBtu_n2o</v>
      </c>
      <c r="BD7" s="43" t="str">
        <f t="shared" si="2"/>
        <v>summer_on-peak_usdperMMBtu_ch4</v>
      </c>
      <c r="BE7" s="43" t="str">
        <f t="shared" si="2"/>
        <v>summer_off-peak_usdperMMBtu_ch4</v>
      </c>
      <c r="BF7" s="43" t="str">
        <f t="shared" si="2"/>
        <v>winter_on-peak_usdperMMBtu_ch4</v>
      </c>
      <c r="BG7" s="43" t="str">
        <f t="shared" si="2"/>
        <v>winter_off-peak_usdperMMBtu_ch4</v>
      </c>
      <c r="BH7" s="43" t="str">
        <f t="shared" si="2"/>
        <v>shoulder_on-peak_usdperMMBtu_ch4</v>
      </c>
      <c r="BI7" s="43" t="str">
        <f t="shared" si="2"/>
        <v>natural_gas_usdperMMBtu_ch4</v>
      </c>
      <c r="BJ7" s="43" t="str">
        <f t="shared" si="2"/>
        <v>res_fuel_oil_usdperMMBtu_ch4</v>
      </c>
      <c r="BK7" s="43" t="str">
        <f t="shared" si="2"/>
        <v>com_fuel_oil_usdperMMBtu_ch4</v>
      </c>
      <c r="BL7" s="43" t="str">
        <f t="shared" si="2"/>
        <v>ind_fuel_oil_usdperMMBtu_ch4</v>
      </c>
      <c r="BM7" s="43" t="str">
        <f t="shared" si="2"/>
        <v>res_propane_usdperMMBtu_ch4</v>
      </c>
      <c r="BN7" s="43" t="str">
        <f t="shared" si="2"/>
        <v>com_propane_usdperMMBtu_ch4</v>
      </c>
      <c r="BO7" s="43" t="str">
        <f t="shared" si="2"/>
        <v>ind_propane_usdperMMBtu_ch4</v>
      </c>
      <c r="BP7" s="43" t="str">
        <f t="shared" si="2"/>
        <v>diesel_transportation_usdperMMBtu_ch4</v>
      </c>
      <c r="BQ7" s="43" t="str">
        <f t="shared" si="2"/>
        <v>gasoline_transportation_usdperMMBtu_ch4</v>
      </c>
    </row>
    <row r="8" spans="1:70" x14ac:dyDescent="0.25">
      <c r="A8" s="43"/>
      <c r="B8" s="43" t="s">
        <v>1</v>
      </c>
      <c r="C8" s="43" t="s">
        <v>2</v>
      </c>
      <c r="D8" s="43" t="s">
        <v>3</v>
      </c>
      <c r="E8" s="43" t="s">
        <v>4</v>
      </c>
      <c r="F8" s="43" t="s">
        <v>5</v>
      </c>
      <c r="G8" s="43" t="s">
        <v>7</v>
      </c>
      <c r="H8" s="43" t="s">
        <v>8</v>
      </c>
      <c r="I8" s="43" t="s">
        <v>11</v>
      </c>
      <c r="J8" s="43" t="s">
        <v>12</v>
      </c>
      <c r="K8" s="43" t="s">
        <v>13</v>
      </c>
      <c r="L8" s="43" t="s">
        <v>14</v>
      </c>
      <c r="M8" s="43" t="s">
        <v>15</v>
      </c>
      <c r="N8" s="43" t="s">
        <v>16</v>
      </c>
      <c r="O8" s="43" t="s">
        <v>17</v>
      </c>
      <c r="P8" s="43" t="s">
        <v>18</v>
      </c>
      <c r="Q8" s="43" t="s">
        <v>19</v>
      </c>
      <c r="R8" s="43" t="s">
        <v>20</v>
      </c>
      <c r="S8" s="43" t="str">
        <f>S7</f>
        <v>Electricity_Retail_Prices_res_usdperkWh</v>
      </c>
      <c r="T8" s="43" t="str">
        <f t="shared" ref="T8:AA8" si="3">T7</f>
        <v>Electricity_Retail_Prices_commercial_usdperkWh</v>
      </c>
      <c r="U8" s="43" t="str">
        <f t="shared" si="3"/>
        <v>Electricity_Retail_Prices_industrial_usdperkWh</v>
      </c>
      <c r="V8" s="43" t="str">
        <f t="shared" si="3"/>
        <v>Natural_gas_Retail_Prices_res_usdperMMBtu</v>
      </c>
      <c r="W8" s="43" t="str">
        <f t="shared" si="3"/>
        <v>Natural_gas_Retail_Prices_commercial_usdperMMBtu</v>
      </c>
      <c r="X8" s="43" t="str">
        <f t="shared" si="3"/>
        <v>Natural_gas_Retail_Prices_industrial_usdperMMBtu</v>
      </c>
      <c r="Y8" s="43" t="str">
        <f t="shared" si="3"/>
        <v>Heating Oil_Retail_Prices_res_usdperMMBtu</v>
      </c>
      <c r="Z8" s="43" t="str">
        <f t="shared" si="3"/>
        <v>Heating Oil_Retail_Prices_commercial_usdperMMBtu</v>
      </c>
      <c r="AA8" s="43" t="str">
        <f t="shared" si="3"/>
        <v>Heating Oil_Retail_Prices_industrial_usdperMMBtu</v>
      </c>
      <c r="AB8" s="43" t="s">
        <v>30</v>
      </c>
      <c r="AC8" s="43" t="s">
        <v>31</v>
      </c>
      <c r="AD8" s="43" t="s">
        <v>32</v>
      </c>
      <c r="AE8" s="43" t="s">
        <v>33</v>
      </c>
      <c r="AF8" s="43" t="s">
        <v>34</v>
      </c>
      <c r="AG8" s="43" t="s">
        <v>35</v>
      </c>
      <c r="AH8" s="43" t="s">
        <v>36</v>
      </c>
      <c r="AI8" s="43" t="s">
        <v>37</v>
      </c>
      <c r="AJ8" s="43" t="s">
        <v>38</v>
      </c>
      <c r="AK8" s="43" t="s">
        <v>39</v>
      </c>
      <c r="AL8" s="43" t="s">
        <v>40</v>
      </c>
      <c r="AM8" s="43" t="s">
        <v>41</v>
      </c>
      <c r="AN8" s="43" t="s">
        <v>42</v>
      </c>
      <c r="AO8" s="43" t="s">
        <v>43</v>
      </c>
      <c r="AP8" s="43" t="s">
        <v>44</v>
      </c>
      <c r="AQ8" s="43" t="s">
        <v>45</v>
      </c>
      <c r="AR8" s="43" t="s">
        <v>46</v>
      </c>
      <c r="AS8" s="43" t="s">
        <v>47</v>
      </c>
      <c r="AT8" s="43" t="s">
        <v>48</v>
      </c>
      <c r="AU8" s="43" t="s">
        <v>49</v>
      </c>
      <c r="AV8" s="43" t="s">
        <v>50</v>
      </c>
      <c r="AW8" s="43" t="s">
        <v>51</v>
      </c>
      <c r="AX8" s="43" t="s">
        <v>52</v>
      </c>
      <c r="AY8" s="43" t="s">
        <v>53</v>
      </c>
      <c r="AZ8" s="43" t="s">
        <v>54</v>
      </c>
      <c r="BA8" s="43" t="s">
        <v>55</v>
      </c>
      <c r="BB8" s="43" t="s">
        <v>56</v>
      </c>
      <c r="BC8" s="43" t="s">
        <v>57</v>
      </c>
      <c r="BD8" s="43" t="s">
        <v>58</v>
      </c>
      <c r="BE8" s="43" t="s">
        <v>59</v>
      </c>
      <c r="BF8" s="43" t="s">
        <v>60</v>
      </c>
      <c r="BG8" s="43" t="s">
        <v>61</v>
      </c>
      <c r="BH8" s="43" t="s">
        <v>62</v>
      </c>
      <c r="BI8" s="43" t="s">
        <v>63</v>
      </c>
      <c r="BJ8" s="43" t="s">
        <v>64</v>
      </c>
      <c r="BK8" s="43" t="s">
        <v>65</v>
      </c>
      <c r="BL8" s="43" t="s">
        <v>66</v>
      </c>
      <c r="BM8" s="43" t="s">
        <v>67</v>
      </c>
      <c r="BN8" s="43" t="s">
        <v>68</v>
      </c>
      <c r="BO8" s="43" t="s">
        <v>69</v>
      </c>
      <c r="BP8" s="43" t="s">
        <v>70</v>
      </c>
      <c r="BQ8" s="43" t="s">
        <v>71</v>
      </c>
    </row>
    <row r="9" spans="1:70" x14ac:dyDescent="0.25">
      <c r="A9">
        <v>1</v>
      </c>
      <c r="B9" s="1">
        <f>Originial!B20</f>
        <v>0.06</v>
      </c>
      <c r="C9" s="1">
        <f>Originial!C20</f>
        <v>0.04</v>
      </c>
      <c r="D9" s="1">
        <f>Originial!D20</f>
        <v>0.06</v>
      </c>
      <c r="E9" s="1">
        <f>Originial!E20</f>
        <v>0.04</v>
      </c>
      <c r="F9" s="1">
        <f>Originial!F20</f>
        <v>0.04</v>
      </c>
      <c r="G9" s="1">
        <f>Originial!H20</f>
        <v>89.69</v>
      </c>
      <c r="H9" s="1">
        <f>Originial!J20</f>
        <v>18.600000000000001</v>
      </c>
      <c r="I9" s="1">
        <f>Originial!N20</f>
        <v>5.62</v>
      </c>
      <c r="J9" s="1">
        <f>Originial!O20</f>
        <v>24.68</v>
      </c>
      <c r="K9" s="1">
        <f>Originial!P20</f>
        <v>18.71</v>
      </c>
      <c r="L9" s="1">
        <f>Originial!Q20</f>
        <v>18.71</v>
      </c>
      <c r="M9" s="1">
        <f>Originial!R20</f>
        <v>25.38</v>
      </c>
      <c r="N9" s="1">
        <f>Originial!S20</f>
        <v>22.83</v>
      </c>
      <c r="O9" s="1">
        <f>Originial!T20</f>
        <v>22.83</v>
      </c>
      <c r="P9" s="1">
        <f>Originial!U20</f>
        <v>28.12</v>
      </c>
      <c r="Q9" s="1">
        <f>Originial!V20</f>
        <v>27.09</v>
      </c>
      <c r="R9" s="1">
        <f>Originial!AE20</f>
        <v>1.7000000000000001E-2</v>
      </c>
      <c r="S9" s="1">
        <f>Originial!AO20</f>
        <v>0.2</v>
      </c>
      <c r="T9" s="1">
        <f>Originial!AP20</f>
        <v>0.14000000000000001</v>
      </c>
      <c r="U9" s="1">
        <f>Originial!AQ20</f>
        <v>0.08</v>
      </c>
      <c r="V9" s="1">
        <f>Originial!AT20</f>
        <v>11.26</v>
      </c>
      <c r="W9" s="1">
        <f>Originial!AU20</f>
        <v>9.77</v>
      </c>
      <c r="X9" s="1">
        <f>Originial!AV20</f>
        <v>7.91</v>
      </c>
      <c r="Y9" s="1">
        <f>Originial!AY20</f>
        <v>24.68</v>
      </c>
      <c r="Z9" s="1">
        <f>Originial!AZ20</f>
        <v>18.71</v>
      </c>
      <c r="AA9" s="1">
        <f>Originial!BA20</f>
        <v>18.71</v>
      </c>
      <c r="AB9">
        <f>GHG!B25</f>
        <v>7.7749014000000005E-2</v>
      </c>
      <c r="AC9">
        <f>GHG!C25</f>
        <v>7.5741179000000006E-2</v>
      </c>
      <c r="AD9">
        <f>GHG!D25</f>
        <v>8.4995874999999999E-2</v>
      </c>
      <c r="AE9">
        <f>GHG!E25</f>
        <v>8.2280850000000003E-2</v>
      </c>
      <c r="AF9">
        <f>GHG!F25</f>
        <v>5.2068030000000001E-2</v>
      </c>
      <c r="AG9">
        <f>GHG!AB25</f>
        <v>14.594126470000001</v>
      </c>
      <c r="AH9">
        <f>GHG!AC25</f>
        <v>20.342661020000001</v>
      </c>
      <c r="AI9">
        <f>GHG!AD25</f>
        <v>20.342661</v>
      </c>
      <c r="AJ9">
        <f>GHG!AE25</f>
        <v>20.342661</v>
      </c>
      <c r="AK9">
        <f>GHG!AF25</f>
        <v>17.292362069999999</v>
      </c>
      <c r="AL9">
        <f>GHG!AG25</f>
        <v>17.292362000000001</v>
      </c>
      <c r="AM9">
        <f>GHG!AH25</f>
        <v>17.292362000000001</v>
      </c>
      <c r="AN9">
        <f>GHG!AI25</f>
        <v>20.441366670000001</v>
      </c>
      <c r="AO9">
        <f>GHG!AJ25</f>
        <v>20.08863036</v>
      </c>
      <c r="AP9">
        <f>GHG!B25</f>
        <v>7.7749014000000005E-2</v>
      </c>
      <c r="AQ9">
        <f>GHG!C25</f>
        <v>7.5741179000000006E-2</v>
      </c>
      <c r="AR9">
        <f>GHG!D25</f>
        <v>8.4995874999999999E-2</v>
      </c>
      <c r="AS9">
        <f>GHG!E25</f>
        <v>8.2280850000000003E-2</v>
      </c>
      <c r="AT9">
        <f>GHG!F25</f>
        <v>5.2068030000000001E-2</v>
      </c>
      <c r="AU9">
        <f>GHG!AB89</f>
        <v>7.8666719999999999E-3</v>
      </c>
      <c r="AV9">
        <f>GHG!AC89</f>
        <v>4.7200028999999998E-2</v>
      </c>
      <c r="AW9">
        <f>GHG!AD89</f>
        <v>4.7199999999999999E-2</v>
      </c>
      <c r="AX9">
        <f>GHG!AE89</f>
        <v>4.7199999999999999E-2</v>
      </c>
      <c r="AY9">
        <f>GHG!AF89</f>
        <v>4.7200028999999998E-2</v>
      </c>
      <c r="AZ9">
        <f>GHG!AG89</f>
        <v>4.7199999999999999E-2</v>
      </c>
      <c r="BA9">
        <f>GHG!AH89</f>
        <v>4.7199999999999999E-2</v>
      </c>
      <c r="BB9">
        <f>GHG!AI89</f>
        <v>4.7200028999999998E-2</v>
      </c>
      <c r="BC9">
        <f>GHG!AJ89</f>
        <v>4.7200028999999998E-2</v>
      </c>
      <c r="BD9">
        <f>GHG!B153</f>
        <v>4.3874040000000001E-3</v>
      </c>
      <c r="BE9">
        <f>GHG!C153</f>
        <v>3.9277909999999999E-3</v>
      </c>
      <c r="BF9">
        <f>GHG!D153</f>
        <v>4.4323369999999997E-3</v>
      </c>
      <c r="BG9">
        <f>GHG!E153</f>
        <v>4.1620930000000004E-3</v>
      </c>
      <c r="BH9">
        <f>GHG!F153</f>
        <v>3.1120229999999998E-3</v>
      </c>
      <c r="BI9">
        <f>GHG!AB153</f>
        <v>2.6878090000000002E-3</v>
      </c>
      <c r="BJ9">
        <f>GHG!AC153</f>
        <v>8.0634279999999992E-3</v>
      </c>
      <c r="BK9">
        <f>GHG!AD153</f>
        <v>8.0634000000000001E-3</v>
      </c>
      <c r="BL9">
        <f>GHG!AE153</f>
        <v>8.0634000000000001E-3</v>
      </c>
      <c r="BM9">
        <f>GHG!AF153</f>
        <v>8.0634279999999992E-3</v>
      </c>
      <c r="BN9">
        <f>GHG!AG153</f>
        <v>8.0634000000000001E-3</v>
      </c>
      <c r="BO9">
        <f>GHG!AH153</f>
        <v>8.0634000000000001E-3</v>
      </c>
      <c r="BP9">
        <f>GHG!AI153</f>
        <v>8.0634279999999992E-3</v>
      </c>
      <c r="BQ9">
        <f>GHG!AJ153</f>
        <v>8.0634279999999992E-3</v>
      </c>
    </row>
    <row r="10" spans="1:70" x14ac:dyDescent="0.25">
      <c r="A10">
        <v>2</v>
      </c>
      <c r="B10" s="1">
        <f>Originial!B21</f>
        <v>0.06</v>
      </c>
      <c r="C10" s="1">
        <f>Originial!C21</f>
        <v>0.05</v>
      </c>
      <c r="D10" s="1">
        <f>Originial!D21</f>
        <v>0.06</v>
      </c>
      <c r="E10" s="1">
        <f>Originial!E21</f>
        <v>0.05</v>
      </c>
      <c r="F10" s="1">
        <f>Originial!F21</f>
        <v>0.04</v>
      </c>
      <c r="G10" s="1">
        <f>Originial!H21</f>
        <v>49.6</v>
      </c>
      <c r="H10" s="1">
        <f>Originial!J21</f>
        <v>18.32</v>
      </c>
      <c r="I10" s="1">
        <f>Originial!N21</f>
        <v>4.7300000000000004</v>
      </c>
      <c r="J10" s="1">
        <f>Originial!O21</f>
        <v>25</v>
      </c>
      <c r="K10" s="1">
        <f>Originial!P21</f>
        <v>18.239999999999998</v>
      </c>
      <c r="L10" s="1">
        <f>Originial!Q21</f>
        <v>18.190000000000001</v>
      </c>
      <c r="M10" s="1">
        <f>Originial!R21</f>
        <v>25.19</v>
      </c>
      <c r="N10" s="1">
        <f>Originial!S21</f>
        <v>22.61</v>
      </c>
      <c r="O10" s="1">
        <f>Originial!T21</f>
        <v>22.51</v>
      </c>
      <c r="P10" s="1">
        <f>Originial!U21</f>
        <v>28.19</v>
      </c>
      <c r="Q10" s="1">
        <f>Originial!V21</f>
        <v>26.53</v>
      </c>
      <c r="R10" s="1">
        <f>Originial!AE21</f>
        <v>1.7000000000000001E-2</v>
      </c>
      <c r="S10" s="1">
        <f>Originial!AO21</f>
        <v>0.21</v>
      </c>
      <c r="T10" s="1">
        <f>Originial!AP21</f>
        <v>0.14000000000000001</v>
      </c>
      <c r="U10" s="1">
        <f>Originial!AQ21</f>
        <v>0.08</v>
      </c>
      <c r="V10" s="1">
        <f>Originial!AT21</f>
        <v>10.72</v>
      </c>
      <c r="W10" s="1">
        <f>Originial!AU21</f>
        <v>9.9600000000000009</v>
      </c>
      <c r="X10" s="1">
        <f>Originial!AV21</f>
        <v>7.69</v>
      </c>
      <c r="Y10" s="1">
        <f>Originial!AY21</f>
        <v>25</v>
      </c>
      <c r="Z10" s="1">
        <f>Originial!AZ21</f>
        <v>18.239999999999998</v>
      </c>
      <c r="AA10" s="1">
        <f>Originial!BA21</f>
        <v>18.190000000000001</v>
      </c>
      <c r="AB10">
        <f>GHG!B26</f>
        <v>8.0499328999999994E-2</v>
      </c>
      <c r="AC10">
        <f>GHG!C26</f>
        <v>7.9677276000000005E-2</v>
      </c>
      <c r="AD10">
        <f>GHG!D26</f>
        <v>8.9508689000000002E-2</v>
      </c>
      <c r="AE10">
        <f>GHG!E26</f>
        <v>8.6465298999999995E-2</v>
      </c>
      <c r="AF10">
        <f>GHG!F26</f>
        <v>5.4188785000000003E-2</v>
      </c>
      <c r="AG10">
        <f>GHG!AB26</f>
        <v>14.8656451</v>
      </c>
      <c r="AH10">
        <f>GHG!AC26</f>
        <v>20.721129130000001</v>
      </c>
      <c r="AI10">
        <f>GHG!AD26</f>
        <v>20.721129000000001</v>
      </c>
      <c r="AJ10">
        <f>GHG!AE26</f>
        <v>20.721129000000001</v>
      </c>
      <c r="AK10">
        <f>GHG!AF26</f>
        <v>17.614080430000001</v>
      </c>
      <c r="AL10">
        <f>GHG!AG26</f>
        <v>17.614080000000001</v>
      </c>
      <c r="AM10">
        <f>GHG!AH26</f>
        <v>17.614080000000001</v>
      </c>
      <c r="AN10">
        <f>GHG!AI26</f>
        <v>20.821671169999998</v>
      </c>
      <c r="AO10">
        <f>GHG!AJ26</f>
        <v>20.46237232</v>
      </c>
      <c r="AP10">
        <f>GHG!B26</f>
        <v>8.0499328999999994E-2</v>
      </c>
      <c r="AQ10">
        <f>GHG!C26</f>
        <v>7.9677276000000005E-2</v>
      </c>
      <c r="AR10">
        <f>GHG!D26</f>
        <v>8.9508689000000002E-2</v>
      </c>
      <c r="AS10">
        <f>GHG!E26</f>
        <v>8.6465298999999995E-2</v>
      </c>
      <c r="AT10">
        <f>GHG!F26</f>
        <v>5.4188785000000003E-2</v>
      </c>
      <c r="AU10">
        <f>GHG!AB90</f>
        <v>8.0235140000000007E-3</v>
      </c>
      <c r="AV10">
        <f>GHG!AC90</f>
        <v>4.8141082000000002E-2</v>
      </c>
      <c r="AW10">
        <f>GHG!AD90</f>
        <v>4.8141099999999999E-2</v>
      </c>
      <c r="AX10">
        <f>GHG!AE90</f>
        <v>4.8141099999999999E-2</v>
      </c>
      <c r="AY10">
        <f>GHG!AF90</f>
        <v>4.8141082000000002E-2</v>
      </c>
      <c r="AZ10">
        <f>GHG!AG90</f>
        <v>4.8141099999999999E-2</v>
      </c>
      <c r="BA10">
        <f>GHG!AH90</f>
        <v>4.8141099999999999E-2</v>
      </c>
      <c r="BB10">
        <f>GHG!AI90</f>
        <v>4.8141082000000002E-2</v>
      </c>
      <c r="BC10">
        <f>GHG!AJ90</f>
        <v>4.8141082000000002E-2</v>
      </c>
      <c r="BD10">
        <f>GHG!B154</f>
        <v>4.4091909999999998E-3</v>
      </c>
      <c r="BE10">
        <f>GHG!C154</f>
        <v>4.0083080000000004E-3</v>
      </c>
      <c r="BF10">
        <f>GHG!D154</f>
        <v>4.5598770000000004E-3</v>
      </c>
      <c r="BG10">
        <f>GHG!E154</f>
        <v>4.3072529999999996E-3</v>
      </c>
      <c r="BH10">
        <f>GHG!F154</f>
        <v>3.1656470000000002E-3</v>
      </c>
      <c r="BI10">
        <f>GHG!AB154</f>
        <v>2.783757E-3</v>
      </c>
      <c r="BJ10">
        <f>GHG!AC154</f>
        <v>8.3512699999999992E-3</v>
      </c>
      <c r="BK10">
        <f>GHG!AD154</f>
        <v>8.3513000000000007E-3</v>
      </c>
      <c r="BL10">
        <f>GHG!AE154</f>
        <v>8.3513000000000007E-3</v>
      </c>
      <c r="BM10">
        <f>GHG!AF154</f>
        <v>8.3512699999999992E-3</v>
      </c>
      <c r="BN10">
        <f>GHG!AG154</f>
        <v>8.3513000000000007E-3</v>
      </c>
      <c r="BO10">
        <f>GHG!AH154</f>
        <v>8.3513000000000007E-3</v>
      </c>
      <c r="BP10">
        <f>GHG!AI154</f>
        <v>8.3512699999999992E-3</v>
      </c>
      <c r="BQ10">
        <f>GHG!AJ154</f>
        <v>8.3512699999999992E-3</v>
      </c>
    </row>
    <row r="11" spans="1:70" x14ac:dyDescent="0.25">
      <c r="A11">
        <v>3</v>
      </c>
      <c r="B11" s="1">
        <f>Originial!B22</f>
        <v>0.06</v>
      </c>
      <c r="C11" s="1">
        <f>Originial!C22</f>
        <v>0.05</v>
      </c>
      <c r="D11" s="1">
        <f>Originial!D22</f>
        <v>0.06</v>
      </c>
      <c r="E11" s="1">
        <f>Originial!E22</f>
        <v>0.05</v>
      </c>
      <c r="F11" s="1">
        <f>Originial!F22</f>
        <v>0.04</v>
      </c>
      <c r="G11" s="1">
        <f>Originial!H22</f>
        <v>42.36</v>
      </c>
      <c r="H11" s="1">
        <f>Originial!J22</f>
        <v>18.309999999999999</v>
      </c>
      <c r="I11" s="1">
        <f>Originial!N22</f>
        <v>4.71</v>
      </c>
      <c r="J11" s="1">
        <f>Originial!O22</f>
        <v>25.57</v>
      </c>
      <c r="K11" s="1">
        <f>Originial!P22</f>
        <v>17.97</v>
      </c>
      <c r="L11" s="1">
        <f>Originial!Q22</f>
        <v>17.87</v>
      </c>
      <c r="M11" s="1">
        <f>Originial!R22</f>
        <v>25.19</v>
      </c>
      <c r="N11" s="1">
        <f>Originial!S22</f>
        <v>22.75</v>
      </c>
      <c r="O11" s="1">
        <f>Originial!T22</f>
        <v>22.7</v>
      </c>
      <c r="P11" s="1">
        <f>Originial!U22</f>
        <v>28.53</v>
      </c>
      <c r="Q11" s="1">
        <f>Originial!V22</f>
        <v>26.25</v>
      </c>
      <c r="R11" s="1">
        <f>Originial!AE22</f>
        <v>1.7000000000000001E-2</v>
      </c>
      <c r="S11" s="1">
        <f>Originial!AO22</f>
        <v>0.21</v>
      </c>
      <c r="T11" s="1">
        <f>Originial!AP22</f>
        <v>0.14000000000000001</v>
      </c>
      <c r="U11" s="1">
        <f>Originial!AQ22</f>
        <v>0.08</v>
      </c>
      <c r="V11" s="1">
        <f>Originial!AT22</f>
        <v>10.38</v>
      </c>
      <c r="W11" s="1">
        <f>Originial!AU22</f>
        <v>10.34</v>
      </c>
      <c r="X11" s="1">
        <f>Originial!AV22</f>
        <v>7.76</v>
      </c>
      <c r="Y11" s="1">
        <f>Originial!AY22</f>
        <v>25.57</v>
      </c>
      <c r="Z11" s="1">
        <f>Originial!AZ22</f>
        <v>17.97</v>
      </c>
      <c r="AA11" s="1">
        <f>Originial!BA22</f>
        <v>17.87</v>
      </c>
      <c r="AB11">
        <f>GHG!B27</f>
        <v>8.3297273000000005E-2</v>
      </c>
      <c r="AC11">
        <f>GHG!C27</f>
        <v>8.3705682000000003E-2</v>
      </c>
      <c r="AD11">
        <f>GHG!D27</f>
        <v>9.4128589999999998E-2</v>
      </c>
      <c r="AE11">
        <f>GHG!E27</f>
        <v>9.0746683999999994E-2</v>
      </c>
      <c r="AF11">
        <f>GHG!F27</f>
        <v>5.6351623000000003E-2</v>
      </c>
      <c r="AG11">
        <f>GHG!AB27</f>
        <v>15.137163729999999</v>
      </c>
      <c r="AH11">
        <f>GHG!AC27</f>
        <v>21.099597240000001</v>
      </c>
      <c r="AI11">
        <f>GHG!AD27</f>
        <v>21.099596999999999</v>
      </c>
      <c r="AJ11">
        <f>GHG!AE27</f>
        <v>21.099596999999999</v>
      </c>
      <c r="AK11">
        <f>GHG!AF27</f>
        <v>17.93579879</v>
      </c>
      <c r="AL11">
        <f>GHG!AG27</f>
        <v>17.935798999999999</v>
      </c>
      <c r="AM11">
        <f>GHG!AH27</f>
        <v>17.935798999999999</v>
      </c>
      <c r="AN11">
        <f>GHG!AI27</f>
        <v>21.201975669999999</v>
      </c>
      <c r="AO11">
        <f>GHG!AJ27</f>
        <v>20.83611428</v>
      </c>
      <c r="AP11">
        <f>GHG!B27</f>
        <v>8.3297273000000005E-2</v>
      </c>
      <c r="AQ11">
        <f>GHG!C27</f>
        <v>8.3705682000000003E-2</v>
      </c>
      <c r="AR11">
        <f>GHG!D27</f>
        <v>9.4128589999999998E-2</v>
      </c>
      <c r="AS11">
        <f>GHG!E27</f>
        <v>9.0746683999999994E-2</v>
      </c>
      <c r="AT11">
        <f>GHG!F27</f>
        <v>5.6351623000000003E-2</v>
      </c>
      <c r="AU11">
        <f>GHG!AB91</f>
        <v>8.1803559999999997E-3</v>
      </c>
      <c r="AV11">
        <f>GHG!AC91</f>
        <v>4.9082135999999998E-2</v>
      </c>
      <c r="AW11">
        <f>GHG!AD91</f>
        <v>4.9082099999999997E-2</v>
      </c>
      <c r="AX11">
        <f>GHG!AE91</f>
        <v>4.9082099999999997E-2</v>
      </c>
      <c r="AY11">
        <f>GHG!AF91</f>
        <v>4.9082135999999998E-2</v>
      </c>
      <c r="AZ11">
        <f>GHG!AG91</f>
        <v>4.9082099999999997E-2</v>
      </c>
      <c r="BA11">
        <f>GHG!AH91</f>
        <v>4.9082099999999997E-2</v>
      </c>
      <c r="BB11">
        <f>GHG!AI91</f>
        <v>4.9082135999999998E-2</v>
      </c>
      <c r="BC11">
        <f>GHG!AJ91</f>
        <v>4.9082135999999998E-2</v>
      </c>
      <c r="BD11">
        <f>GHG!B155</f>
        <v>4.4236470000000002E-3</v>
      </c>
      <c r="BE11">
        <f>GHG!C155</f>
        <v>4.0865240000000002E-3</v>
      </c>
      <c r="BF11">
        <f>GHG!D155</f>
        <v>4.6873840000000002E-3</v>
      </c>
      <c r="BG11">
        <f>GHG!E155</f>
        <v>4.4541559999999999E-3</v>
      </c>
      <c r="BH11">
        <f>GHG!F155</f>
        <v>3.2167390000000001E-3</v>
      </c>
      <c r="BI11">
        <f>GHG!AB155</f>
        <v>2.8809840000000001E-3</v>
      </c>
      <c r="BJ11">
        <f>GHG!AC155</f>
        <v>8.6429509999999994E-3</v>
      </c>
      <c r="BK11">
        <f>GHG!AD155</f>
        <v>8.6429999999999996E-3</v>
      </c>
      <c r="BL11">
        <f>GHG!AE155</f>
        <v>8.6429999999999996E-3</v>
      </c>
      <c r="BM11">
        <f>GHG!AF155</f>
        <v>8.6429509999999994E-3</v>
      </c>
      <c r="BN11">
        <f>GHG!AG155</f>
        <v>8.6429999999999996E-3</v>
      </c>
      <c r="BO11">
        <f>GHG!AH155</f>
        <v>8.6429999999999996E-3</v>
      </c>
      <c r="BP11">
        <f>GHG!AI155</f>
        <v>8.6429509999999994E-3</v>
      </c>
      <c r="BQ11">
        <f>GHG!AJ155</f>
        <v>8.6429509999999994E-3</v>
      </c>
    </row>
    <row r="12" spans="1:70" x14ac:dyDescent="0.25">
      <c r="A12">
        <v>4</v>
      </c>
      <c r="B12" s="1">
        <f>Originial!B23</f>
        <v>0.06</v>
      </c>
      <c r="C12" s="1">
        <f>Originial!C23</f>
        <v>0.05</v>
      </c>
      <c r="D12" s="1">
        <f>Originial!D23</f>
        <v>0.06</v>
      </c>
      <c r="E12" s="1">
        <f>Originial!E23</f>
        <v>0.05</v>
      </c>
      <c r="F12" s="1">
        <f>Originial!F23</f>
        <v>0.04</v>
      </c>
      <c r="G12" s="1">
        <f>Originial!H23</f>
        <v>63.21</v>
      </c>
      <c r="H12" s="1">
        <f>Originial!J23</f>
        <v>18.3</v>
      </c>
      <c r="I12" s="1">
        <f>Originial!N23</f>
        <v>4.59</v>
      </c>
      <c r="J12" s="1">
        <f>Originial!O23</f>
        <v>26.19</v>
      </c>
      <c r="K12" s="1">
        <f>Originial!P23</f>
        <v>17.72</v>
      </c>
      <c r="L12" s="1">
        <f>Originial!Q23</f>
        <v>17.57</v>
      </c>
      <c r="M12" s="1">
        <f>Originial!R23</f>
        <v>25.4</v>
      </c>
      <c r="N12" s="1">
        <f>Originial!S23</f>
        <v>23.11</v>
      </c>
      <c r="O12" s="1">
        <f>Originial!T23</f>
        <v>23.23</v>
      </c>
      <c r="P12" s="1">
        <f>Originial!U23</f>
        <v>28.89</v>
      </c>
      <c r="Q12" s="1">
        <f>Originial!V23</f>
        <v>25.94</v>
      </c>
      <c r="R12" s="1">
        <f>Originial!AE23</f>
        <v>1.7000000000000001E-2</v>
      </c>
      <c r="S12" s="1">
        <f>Originial!AO23</f>
        <v>0.22</v>
      </c>
      <c r="T12" s="1">
        <f>Originial!AP23</f>
        <v>0.14000000000000001</v>
      </c>
      <c r="U12" s="1">
        <f>Originial!AQ23</f>
        <v>0.08</v>
      </c>
      <c r="V12" s="1">
        <f>Originial!AT23</f>
        <v>10.19</v>
      </c>
      <c r="W12" s="1">
        <f>Originial!AU23</f>
        <v>10.84</v>
      </c>
      <c r="X12" s="1">
        <f>Originial!AV23</f>
        <v>7.94</v>
      </c>
      <c r="Y12" s="1">
        <f>Originial!AY23</f>
        <v>26.19</v>
      </c>
      <c r="Z12" s="1">
        <f>Originial!AZ23</f>
        <v>17.72</v>
      </c>
      <c r="AA12" s="1">
        <f>Originial!BA23</f>
        <v>17.57</v>
      </c>
      <c r="AB12">
        <f>GHG!B28</f>
        <v>8.5763360999999996E-2</v>
      </c>
      <c r="AC12">
        <f>GHG!C28</f>
        <v>8.7439496000000005E-2</v>
      </c>
      <c r="AD12">
        <f>GHG!D28</f>
        <v>9.8420090000000002E-2</v>
      </c>
      <c r="AE12">
        <f>GHG!E28</f>
        <v>9.4705952999999996E-2</v>
      </c>
      <c r="AF12">
        <f>GHG!F28</f>
        <v>5.8298586999999999E-2</v>
      </c>
      <c r="AG12">
        <f>GHG!AB28</f>
        <v>15.34080271</v>
      </c>
      <c r="AH12">
        <f>GHG!AC28</f>
        <v>21.38344833</v>
      </c>
      <c r="AI12">
        <f>GHG!AD28</f>
        <v>21.383448000000001</v>
      </c>
      <c r="AJ12">
        <f>GHG!AE28</f>
        <v>21.383448000000001</v>
      </c>
      <c r="AK12">
        <f>GHG!AF28</f>
        <v>18.177087570000001</v>
      </c>
      <c r="AL12">
        <f>GHG!AG28</f>
        <v>18.177088000000001</v>
      </c>
      <c r="AM12">
        <f>GHG!AH28</f>
        <v>18.177088000000001</v>
      </c>
      <c r="AN12">
        <f>GHG!AI28</f>
        <v>21.487204040000002</v>
      </c>
      <c r="AO12">
        <f>GHG!AJ28</f>
        <v>21.11642075</v>
      </c>
      <c r="AP12">
        <f>GHG!B28</f>
        <v>8.5763360999999996E-2</v>
      </c>
      <c r="AQ12">
        <f>GHG!C28</f>
        <v>8.7439496000000005E-2</v>
      </c>
      <c r="AR12">
        <f>GHG!D28</f>
        <v>9.8420090000000002E-2</v>
      </c>
      <c r="AS12">
        <f>GHG!E28</f>
        <v>9.4705952999999996E-2</v>
      </c>
      <c r="AT12">
        <f>GHG!F28</f>
        <v>5.8298586999999999E-2</v>
      </c>
      <c r="AU12">
        <f>GHG!AB92</f>
        <v>8.3370700000000002E-3</v>
      </c>
      <c r="AV12">
        <f>GHG!AC92</f>
        <v>5.0022420999999997E-2</v>
      </c>
      <c r="AW12">
        <f>GHG!AD92</f>
        <v>5.0022400000000002E-2</v>
      </c>
      <c r="AX12">
        <f>GHG!AE92</f>
        <v>5.0022400000000002E-2</v>
      </c>
      <c r="AY12">
        <f>GHG!AF92</f>
        <v>5.0022420999999997E-2</v>
      </c>
      <c r="AZ12">
        <f>GHG!AG92</f>
        <v>5.0022400000000002E-2</v>
      </c>
      <c r="BA12">
        <f>GHG!AH92</f>
        <v>5.0022400000000002E-2</v>
      </c>
      <c r="BB12">
        <f>GHG!AI92</f>
        <v>5.0022420999999997E-2</v>
      </c>
      <c r="BC12">
        <f>GHG!AJ92</f>
        <v>5.0022420999999997E-2</v>
      </c>
      <c r="BD12">
        <f>GHG!B156</f>
        <v>4.4267830000000001E-3</v>
      </c>
      <c r="BE12">
        <f>GHG!C156</f>
        <v>4.1587830000000001E-3</v>
      </c>
      <c r="BF12">
        <f>GHG!D156</f>
        <v>4.8106800000000003E-3</v>
      </c>
      <c r="BG12">
        <f>GHG!E156</f>
        <v>4.5988449999999998E-3</v>
      </c>
      <c r="BH12">
        <f>GHG!F156</f>
        <v>3.2624139999999999E-3</v>
      </c>
      <c r="BI12">
        <f>GHG!AB156</f>
        <v>2.9769309999999999E-3</v>
      </c>
      <c r="BJ12">
        <f>GHG!AC156</f>
        <v>8.9307929999999994E-3</v>
      </c>
      <c r="BK12">
        <f>GHG!AD156</f>
        <v>8.9307999999999992E-3</v>
      </c>
      <c r="BL12">
        <f>GHG!AE156</f>
        <v>8.9307999999999992E-3</v>
      </c>
      <c r="BM12">
        <f>GHG!AF156</f>
        <v>8.9307929999999994E-3</v>
      </c>
      <c r="BN12">
        <f>GHG!AG156</f>
        <v>8.9307999999999992E-3</v>
      </c>
      <c r="BO12">
        <f>GHG!AH156</f>
        <v>8.9307999999999992E-3</v>
      </c>
      <c r="BP12">
        <f>GHG!AI156</f>
        <v>8.9307929999999994E-3</v>
      </c>
      <c r="BQ12">
        <f>GHG!AJ156</f>
        <v>8.9307929999999994E-3</v>
      </c>
    </row>
    <row r="13" spans="1:70" x14ac:dyDescent="0.25">
      <c r="A13">
        <v>5</v>
      </c>
      <c r="B13" s="1">
        <f>Originial!B24</f>
        <v>7.0000000000000007E-2</v>
      </c>
      <c r="C13" s="1">
        <f>Originial!C24</f>
        <v>0.05</v>
      </c>
      <c r="D13" s="1">
        <f>Originial!D24</f>
        <v>7.0000000000000007E-2</v>
      </c>
      <c r="E13" s="1">
        <f>Originial!E24</f>
        <v>0.05</v>
      </c>
      <c r="F13" s="1">
        <f>Originial!F24</f>
        <v>0.04</v>
      </c>
      <c r="G13" s="1">
        <f>Originial!H24</f>
        <v>57.55</v>
      </c>
      <c r="H13" s="1">
        <f>Originial!J24</f>
        <v>18.29</v>
      </c>
      <c r="I13" s="1">
        <f>Originial!N24</f>
        <v>5.0199999999999996</v>
      </c>
      <c r="J13" s="1">
        <f>Originial!O24</f>
        <v>26.88</v>
      </c>
      <c r="K13" s="1">
        <f>Originial!P24</f>
        <v>17.5</v>
      </c>
      <c r="L13" s="1">
        <f>Originial!Q24</f>
        <v>17.3</v>
      </c>
      <c r="M13" s="1">
        <f>Originial!R24</f>
        <v>25.8</v>
      </c>
      <c r="N13" s="1">
        <f>Originial!S24</f>
        <v>23.63</v>
      </c>
      <c r="O13" s="1">
        <f>Originial!T24</f>
        <v>23.99</v>
      </c>
      <c r="P13" s="1">
        <f>Originial!U24</f>
        <v>29.3</v>
      </c>
      <c r="Q13" s="1">
        <f>Originial!V24</f>
        <v>26</v>
      </c>
      <c r="R13" s="1">
        <f>Originial!AE24</f>
        <v>1.7000000000000001E-2</v>
      </c>
      <c r="S13" s="1">
        <f>Originial!AO24</f>
        <v>0.22</v>
      </c>
      <c r="T13" s="1">
        <f>Originial!AP24</f>
        <v>0.15</v>
      </c>
      <c r="U13" s="1">
        <f>Originial!AQ24</f>
        <v>0.08</v>
      </c>
      <c r="V13" s="1">
        <f>Originial!AT24</f>
        <v>9.98</v>
      </c>
      <c r="W13" s="1">
        <f>Originial!AU24</f>
        <v>11.31</v>
      </c>
      <c r="X13" s="1">
        <f>Originial!AV24</f>
        <v>8.15</v>
      </c>
      <c r="Y13" s="1">
        <f>Originial!AY24</f>
        <v>26.88</v>
      </c>
      <c r="Z13" s="1">
        <f>Originial!AZ24</f>
        <v>17.5</v>
      </c>
      <c r="AA13" s="1">
        <f>Originial!BA24</f>
        <v>17.3</v>
      </c>
      <c r="AB13">
        <f>GHG!B29</f>
        <v>8.8650607000000006E-2</v>
      </c>
      <c r="AC13">
        <f>GHG!C29</f>
        <v>9.1640980999999996E-2</v>
      </c>
      <c r="AD13">
        <f>GHG!D29</f>
        <v>0.10324077800000001</v>
      </c>
      <c r="AE13">
        <f>GHG!E29</f>
        <v>9.9169093999999999E-2</v>
      </c>
      <c r="AF13">
        <f>GHG!F29</f>
        <v>6.0540333000000002E-2</v>
      </c>
      <c r="AG13">
        <f>GHG!AB29</f>
        <v>15.612321339999999</v>
      </c>
      <c r="AH13">
        <f>GHG!AC29</f>
        <v>21.76191644</v>
      </c>
      <c r="AI13">
        <f>GHG!AD29</f>
        <v>21.761915999999999</v>
      </c>
      <c r="AJ13">
        <f>GHG!AE29</f>
        <v>21.761915999999999</v>
      </c>
      <c r="AK13">
        <f>GHG!AF29</f>
        <v>18.49880593</v>
      </c>
      <c r="AL13">
        <f>GHG!AG29</f>
        <v>18.498805999999998</v>
      </c>
      <c r="AM13">
        <f>GHG!AH29</f>
        <v>18.498805999999998</v>
      </c>
      <c r="AN13">
        <f>GHG!AI29</f>
        <v>21.867508529999999</v>
      </c>
      <c r="AO13">
        <f>GHG!AJ29</f>
        <v>21.49016271</v>
      </c>
      <c r="AP13">
        <f>GHG!B29</f>
        <v>8.8650607000000006E-2</v>
      </c>
      <c r="AQ13">
        <f>GHG!C29</f>
        <v>9.1640980999999996E-2</v>
      </c>
      <c r="AR13">
        <f>GHG!D29</f>
        <v>0.10324077800000001</v>
      </c>
      <c r="AS13">
        <f>GHG!E29</f>
        <v>9.9169093999999999E-2</v>
      </c>
      <c r="AT13">
        <f>GHG!F29</f>
        <v>6.0540333000000002E-2</v>
      </c>
      <c r="AU13">
        <f>GHG!AB93</f>
        <v>8.4939119999999993E-3</v>
      </c>
      <c r="AV13">
        <f>GHG!AC93</f>
        <v>5.0963474000000002E-2</v>
      </c>
      <c r="AW13">
        <f>GHG!AD93</f>
        <v>5.0963500000000002E-2</v>
      </c>
      <c r="AX13">
        <f>GHG!AE93</f>
        <v>5.0963500000000002E-2</v>
      </c>
      <c r="AY13">
        <f>GHG!AF93</f>
        <v>5.0963474000000002E-2</v>
      </c>
      <c r="AZ13">
        <f>GHG!AG93</f>
        <v>5.0963500000000002E-2</v>
      </c>
      <c r="BA13">
        <f>GHG!AH93</f>
        <v>5.0963500000000002E-2</v>
      </c>
      <c r="BB13">
        <f>GHG!AI93</f>
        <v>5.0963474000000002E-2</v>
      </c>
      <c r="BC13">
        <f>GHG!AJ93</f>
        <v>5.0963474000000002E-2</v>
      </c>
      <c r="BD13">
        <f>GHG!B157</f>
        <v>4.4224640000000001E-3</v>
      </c>
      <c r="BE13">
        <f>GHG!C157</f>
        <v>4.2286870000000001E-3</v>
      </c>
      <c r="BF13">
        <f>GHG!D157</f>
        <v>4.9339140000000002E-3</v>
      </c>
      <c r="BG13">
        <f>GHG!E157</f>
        <v>4.7452730000000004E-3</v>
      </c>
      <c r="BH13">
        <f>GHG!F157</f>
        <v>3.305503E-3</v>
      </c>
      <c r="BI13">
        <f>GHG!AB157</f>
        <v>3.074158E-3</v>
      </c>
      <c r="BJ13">
        <f>GHG!AC157</f>
        <v>9.2224739999999996E-3</v>
      </c>
      <c r="BK13">
        <f>GHG!AD157</f>
        <v>9.2224999999999998E-3</v>
      </c>
      <c r="BL13">
        <f>GHG!AE157</f>
        <v>9.2224999999999998E-3</v>
      </c>
      <c r="BM13">
        <f>GHG!AF157</f>
        <v>9.2224739999999996E-3</v>
      </c>
      <c r="BN13">
        <f>GHG!AG157</f>
        <v>9.2224999999999998E-3</v>
      </c>
      <c r="BO13">
        <f>GHG!AH157</f>
        <v>9.2224999999999998E-3</v>
      </c>
      <c r="BP13">
        <f>GHG!AI157</f>
        <v>9.2224739999999996E-3</v>
      </c>
      <c r="BQ13">
        <f>GHG!AJ157</f>
        <v>9.2224739999999996E-3</v>
      </c>
    </row>
    <row r="14" spans="1:70" x14ac:dyDescent="0.25">
      <c r="A14">
        <v>6</v>
      </c>
      <c r="B14" s="1">
        <f>Originial!B25</f>
        <v>7.0000000000000007E-2</v>
      </c>
      <c r="C14" s="1">
        <f>Originial!C25</f>
        <v>0.05</v>
      </c>
      <c r="D14" s="1">
        <f>Originial!D25</f>
        <v>7.0000000000000007E-2</v>
      </c>
      <c r="E14" s="1">
        <f>Originial!E25</f>
        <v>0.05</v>
      </c>
      <c r="F14" s="1">
        <f>Originial!F25</f>
        <v>0.04</v>
      </c>
      <c r="G14" s="1">
        <f>Originial!H25</f>
        <v>60.93</v>
      </c>
      <c r="H14" s="1">
        <f>Originial!J25</f>
        <v>18.3</v>
      </c>
      <c r="I14" s="1">
        <f>Originial!N25</f>
        <v>5.0199999999999996</v>
      </c>
      <c r="J14" s="1">
        <f>Originial!O25</f>
        <v>26.98</v>
      </c>
      <c r="K14" s="1">
        <f>Originial!P25</f>
        <v>17.559999999999999</v>
      </c>
      <c r="L14" s="1">
        <f>Originial!Q25</f>
        <v>17.36</v>
      </c>
      <c r="M14" s="1">
        <f>Originial!R25</f>
        <v>26.27</v>
      </c>
      <c r="N14" s="1">
        <f>Originial!S25</f>
        <v>24.12</v>
      </c>
      <c r="O14" s="1">
        <f>Originial!T25</f>
        <v>24.72</v>
      </c>
      <c r="P14" s="1">
        <f>Originial!U25</f>
        <v>29.38</v>
      </c>
      <c r="Q14" s="1">
        <f>Originial!V25</f>
        <v>26.05</v>
      </c>
      <c r="R14" s="1">
        <f>Originial!AE25</f>
        <v>1.7000000000000001E-2</v>
      </c>
      <c r="S14" s="1">
        <f>Originial!AO25</f>
        <v>0.22</v>
      </c>
      <c r="T14" s="1">
        <f>Originial!AP25</f>
        <v>0.15</v>
      </c>
      <c r="U14" s="1">
        <f>Originial!AQ25</f>
        <v>0.08</v>
      </c>
      <c r="V14" s="1">
        <f>Originial!AT25</f>
        <v>10.199999999999999</v>
      </c>
      <c r="W14" s="1">
        <f>Originial!AU25</f>
        <v>11.51</v>
      </c>
      <c r="X14" s="1">
        <f>Originial!AV25</f>
        <v>8.3699999999999992</v>
      </c>
      <c r="Y14" s="1">
        <f>Originial!AY25</f>
        <v>26.98</v>
      </c>
      <c r="Z14" s="1">
        <f>Originial!AZ25</f>
        <v>17.559999999999999</v>
      </c>
      <c r="AA14" s="1">
        <f>Originial!BA25</f>
        <v>17.36</v>
      </c>
      <c r="AB14">
        <f>GHG!B30</f>
        <v>7.9481003999999994E-2</v>
      </c>
      <c r="AC14">
        <f>GHG!C30</f>
        <v>8.2219087999999996E-2</v>
      </c>
      <c r="AD14">
        <f>GHG!D30</f>
        <v>9.3202197000000001E-2</v>
      </c>
      <c r="AE14">
        <f>GHG!E30</f>
        <v>8.8827392000000005E-2</v>
      </c>
      <c r="AF14">
        <f>GHG!F30</f>
        <v>5.2915772999999999E-2</v>
      </c>
      <c r="AG14">
        <f>GHG!AB30</f>
        <v>15.88383997</v>
      </c>
      <c r="AH14">
        <f>GHG!AC30</f>
        <v>22.14038455</v>
      </c>
      <c r="AI14">
        <f>GHG!AD30</f>
        <v>22.140384999999998</v>
      </c>
      <c r="AJ14">
        <f>GHG!AE30</f>
        <v>22.140384999999998</v>
      </c>
      <c r="AK14">
        <f>GHG!AF30</f>
        <v>18.820524290000002</v>
      </c>
      <c r="AL14">
        <f>GHG!AG30</f>
        <v>18.820523999999999</v>
      </c>
      <c r="AM14">
        <f>GHG!AH30</f>
        <v>18.820523999999999</v>
      </c>
      <c r="AN14">
        <f>GHG!AI30</f>
        <v>22.24781303</v>
      </c>
      <c r="AO14">
        <f>GHG!AJ30</f>
        <v>21.86390467</v>
      </c>
      <c r="AP14">
        <f>GHG!B30</f>
        <v>7.9481003999999994E-2</v>
      </c>
      <c r="AQ14">
        <f>GHG!C30</f>
        <v>8.2219087999999996E-2</v>
      </c>
      <c r="AR14">
        <f>GHG!D30</f>
        <v>9.3202197000000001E-2</v>
      </c>
      <c r="AS14">
        <f>GHG!E30</f>
        <v>8.8827392000000005E-2</v>
      </c>
      <c r="AT14">
        <f>GHG!F30</f>
        <v>5.2915772999999999E-2</v>
      </c>
      <c r="AU14">
        <f>GHG!AB94</f>
        <v>8.6538250000000004E-3</v>
      </c>
      <c r="AV14">
        <f>GHG!AC94</f>
        <v>5.1922949000000003E-2</v>
      </c>
      <c r="AW14">
        <f>GHG!AD94</f>
        <v>5.1922900000000001E-2</v>
      </c>
      <c r="AX14">
        <f>GHG!AE94</f>
        <v>5.1922900000000001E-2</v>
      </c>
      <c r="AY14">
        <f>GHG!AF94</f>
        <v>5.1922949000000003E-2</v>
      </c>
      <c r="AZ14">
        <f>GHG!AG94</f>
        <v>5.1922900000000001E-2</v>
      </c>
      <c r="BA14">
        <f>GHG!AH94</f>
        <v>5.1922900000000001E-2</v>
      </c>
      <c r="BB14">
        <f>GHG!AI94</f>
        <v>5.1922949000000003E-2</v>
      </c>
      <c r="BC14">
        <f>GHG!AJ94</f>
        <v>5.1922949000000003E-2</v>
      </c>
      <c r="BD14">
        <f>GHG!B158</f>
        <v>4.132915E-3</v>
      </c>
      <c r="BE14">
        <f>GHG!C158</f>
        <v>3.9600909999999998E-3</v>
      </c>
      <c r="BF14">
        <f>GHG!D158</f>
        <v>4.6737699999999998E-3</v>
      </c>
      <c r="BG14">
        <f>GHG!E158</f>
        <v>4.4485779999999999E-3</v>
      </c>
      <c r="BH14">
        <f>GHG!F158</f>
        <v>2.9847279999999999E-3</v>
      </c>
      <c r="BI14">
        <f>GHG!AB158</f>
        <v>3.185457E-3</v>
      </c>
      <c r="BJ14">
        <f>GHG!AC158</f>
        <v>9.5563709999999993E-3</v>
      </c>
      <c r="BK14">
        <f>GHG!AD158</f>
        <v>9.5563999999999996E-3</v>
      </c>
      <c r="BL14">
        <f>GHG!AE158</f>
        <v>9.5563999999999996E-3</v>
      </c>
      <c r="BM14">
        <f>GHG!AF158</f>
        <v>9.5563709999999993E-3</v>
      </c>
      <c r="BN14">
        <f>GHG!AG158</f>
        <v>9.5563999999999996E-3</v>
      </c>
      <c r="BO14">
        <f>GHG!AH158</f>
        <v>9.5563999999999996E-3</v>
      </c>
      <c r="BP14">
        <f>GHG!AI158</f>
        <v>9.5563709999999993E-3</v>
      </c>
      <c r="BQ14">
        <f>GHG!AJ158</f>
        <v>9.5563709999999993E-3</v>
      </c>
    </row>
    <row r="15" spans="1:70" x14ac:dyDescent="0.25">
      <c r="A15">
        <v>7</v>
      </c>
      <c r="B15" s="1">
        <f>Originial!B26</f>
        <v>0.06</v>
      </c>
      <c r="C15" s="1">
        <f>Originial!C26</f>
        <v>0.05</v>
      </c>
      <c r="D15" s="1">
        <f>Originial!D26</f>
        <v>0.06</v>
      </c>
      <c r="E15" s="1">
        <f>Originial!E26</f>
        <v>0.05</v>
      </c>
      <c r="F15" s="1">
        <f>Originial!F26</f>
        <v>0.04</v>
      </c>
      <c r="G15" s="1">
        <f>Originial!H26</f>
        <v>74.260000000000005</v>
      </c>
      <c r="H15" s="1">
        <f>Originial!J26</f>
        <v>18.29</v>
      </c>
      <c r="I15" s="1">
        <f>Originial!N26</f>
        <v>5.01</v>
      </c>
      <c r="J15" s="1">
        <f>Originial!O26</f>
        <v>26.83</v>
      </c>
      <c r="K15" s="1">
        <f>Originial!P26</f>
        <v>17.489999999999998</v>
      </c>
      <c r="L15" s="1">
        <f>Originial!Q26</f>
        <v>17.3</v>
      </c>
      <c r="M15" s="1">
        <f>Originial!R26</f>
        <v>27.07</v>
      </c>
      <c r="N15" s="1">
        <f>Originial!S26</f>
        <v>25.08</v>
      </c>
      <c r="O15" s="1">
        <f>Originial!T26</f>
        <v>26.16</v>
      </c>
      <c r="P15" s="1">
        <f>Originial!U26</f>
        <v>29.25</v>
      </c>
      <c r="Q15" s="1">
        <f>Originial!V26</f>
        <v>25.93</v>
      </c>
      <c r="R15" s="1">
        <f>Originial!AE26</f>
        <v>1.7000000000000001E-2</v>
      </c>
      <c r="S15" s="1">
        <f>Originial!AO26</f>
        <v>0.21</v>
      </c>
      <c r="T15" s="1">
        <f>Originial!AP26</f>
        <v>0.14000000000000001</v>
      </c>
      <c r="U15" s="1">
        <f>Originial!AQ26</f>
        <v>0.08</v>
      </c>
      <c r="V15" s="1">
        <f>Originial!AT26</f>
        <v>10.71</v>
      </c>
      <c r="W15" s="1">
        <f>Originial!AU26</f>
        <v>12.01</v>
      </c>
      <c r="X15" s="1">
        <f>Originial!AV26</f>
        <v>9.1</v>
      </c>
      <c r="Y15" s="1">
        <f>Originial!AY26</f>
        <v>26.83</v>
      </c>
      <c r="Z15" s="1">
        <f>Originial!AZ26</f>
        <v>17.489999999999998</v>
      </c>
      <c r="AA15" s="1">
        <f>Originial!BA26</f>
        <v>17.3</v>
      </c>
      <c r="AB15">
        <f>GHG!B31</f>
        <v>6.9651313000000006E-2</v>
      </c>
      <c r="AC15">
        <f>GHG!C31</f>
        <v>7.2116304000000006E-2</v>
      </c>
      <c r="AD15">
        <f>GHG!D31</f>
        <v>8.2411304000000005E-2</v>
      </c>
      <c r="AE15">
        <f>GHG!E31</f>
        <v>7.7745125999999998E-2</v>
      </c>
      <c r="AF15">
        <f>GHG!F31</f>
        <v>4.4805496E-2</v>
      </c>
      <c r="AG15">
        <f>GHG!AB31</f>
        <v>16.087478950000001</v>
      </c>
      <c r="AH15">
        <f>GHG!AC31</f>
        <v>22.424235639999999</v>
      </c>
      <c r="AI15">
        <f>GHG!AD31</f>
        <v>22.424236000000001</v>
      </c>
      <c r="AJ15">
        <f>GHG!AE31</f>
        <v>22.424236000000001</v>
      </c>
      <c r="AK15">
        <f>GHG!AF31</f>
        <v>19.061813069999999</v>
      </c>
      <c r="AL15">
        <f>GHG!AG31</f>
        <v>19.061813000000001</v>
      </c>
      <c r="AM15">
        <f>GHG!AH31</f>
        <v>19.061813000000001</v>
      </c>
      <c r="AN15">
        <f>GHG!AI31</f>
        <v>22.533041399999998</v>
      </c>
      <c r="AO15">
        <f>GHG!AJ31</f>
        <v>22.144211139999999</v>
      </c>
      <c r="AP15">
        <f>GHG!B31</f>
        <v>6.9651313000000006E-2</v>
      </c>
      <c r="AQ15">
        <f>GHG!C31</f>
        <v>7.2116304000000006E-2</v>
      </c>
      <c r="AR15">
        <f>GHG!D31</f>
        <v>8.2411304000000005E-2</v>
      </c>
      <c r="AS15">
        <f>GHG!E31</f>
        <v>7.7745125999999998E-2</v>
      </c>
      <c r="AT15">
        <f>GHG!F31</f>
        <v>4.4805496E-2</v>
      </c>
      <c r="AU15">
        <f>GHG!AB95</f>
        <v>8.8137370000000003E-3</v>
      </c>
      <c r="AV15">
        <f>GHG!AC95</f>
        <v>5.2882423999999997E-2</v>
      </c>
      <c r="AW15">
        <f>GHG!AD95</f>
        <v>5.2882400000000003E-2</v>
      </c>
      <c r="AX15">
        <f>GHG!AE95</f>
        <v>5.2882400000000003E-2</v>
      </c>
      <c r="AY15">
        <f>GHG!AF95</f>
        <v>5.2882423999999997E-2</v>
      </c>
      <c r="AZ15">
        <f>GHG!AG95</f>
        <v>5.2882400000000003E-2</v>
      </c>
      <c r="BA15">
        <f>GHG!AH95</f>
        <v>5.2882400000000003E-2</v>
      </c>
      <c r="BB15">
        <f>GHG!AI95</f>
        <v>5.2882423999999997E-2</v>
      </c>
      <c r="BC15">
        <f>GHG!AJ95</f>
        <v>5.2882423999999997E-2</v>
      </c>
      <c r="BD15">
        <f>GHG!B159</f>
        <v>3.8134229999999998E-3</v>
      </c>
      <c r="BE15">
        <f>GHG!C159</f>
        <v>3.6634480000000001E-3</v>
      </c>
      <c r="BF15">
        <f>GHG!D159</f>
        <v>4.3846650000000003E-3</v>
      </c>
      <c r="BG15">
        <f>GHG!E159</f>
        <v>4.120744E-3</v>
      </c>
      <c r="BH15">
        <f>GHG!F159</f>
        <v>2.6341960000000001E-3</v>
      </c>
      <c r="BI15">
        <f>GHG!AB159</f>
        <v>3.2980349999999999E-3</v>
      </c>
      <c r="BJ15">
        <f>GHG!AC159</f>
        <v>9.8941059999999997E-3</v>
      </c>
      <c r="BK15">
        <f>GHG!AD159</f>
        <v>9.8940999999999994E-3</v>
      </c>
      <c r="BL15">
        <f>GHG!AE159</f>
        <v>9.8940999999999994E-3</v>
      </c>
      <c r="BM15">
        <f>GHG!AF159</f>
        <v>9.8941059999999997E-3</v>
      </c>
      <c r="BN15">
        <f>GHG!AG159</f>
        <v>9.8940999999999994E-3</v>
      </c>
      <c r="BO15">
        <f>GHG!AH159</f>
        <v>9.8940999999999994E-3</v>
      </c>
      <c r="BP15">
        <f>GHG!AI159</f>
        <v>9.8941059999999997E-3</v>
      </c>
      <c r="BQ15">
        <f>GHG!AJ159</f>
        <v>9.8941059999999997E-3</v>
      </c>
    </row>
    <row r="16" spans="1:70" x14ac:dyDescent="0.25">
      <c r="A16">
        <v>8</v>
      </c>
      <c r="B16" s="1">
        <f>Originial!B27</f>
        <v>0.06</v>
      </c>
      <c r="C16" s="1">
        <f>Originial!C27</f>
        <v>0.05</v>
      </c>
      <c r="D16" s="1">
        <f>Originial!D27</f>
        <v>0.06</v>
      </c>
      <c r="E16" s="1">
        <f>Originial!E27</f>
        <v>0.05</v>
      </c>
      <c r="F16" s="1">
        <f>Originial!F27</f>
        <v>0.04</v>
      </c>
      <c r="G16" s="1">
        <f>Originial!H27</f>
        <v>67.34</v>
      </c>
      <c r="H16" s="1">
        <f>Originial!J27</f>
        <v>18.28</v>
      </c>
      <c r="I16" s="1">
        <f>Originial!N27</f>
        <v>5.01</v>
      </c>
      <c r="J16" s="1">
        <f>Originial!O27</f>
        <v>27.26</v>
      </c>
      <c r="K16" s="1">
        <f>Originial!P27</f>
        <v>17.79</v>
      </c>
      <c r="L16" s="1">
        <f>Originial!Q27</f>
        <v>17.600000000000001</v>
      </c>
      <c r="M16" s="1">
        <f>Originial!R27</f>
        <v>28.12</v>
      </c>
      <c r="N16" s="1">
        <f>Originial!S27</f>
        <v>26.22</v>
      </c>
      <c r="O16" s="1">
        <f>Originial!T27</f>
        <v>27.91</v>
      </c>
      <c r="P16" s="1">
        <f>Originial!U27</f>
        <v>29.67</v>
      </c>
      <c r="Q16" s="1">
        <f>Originial!V27</f>
        <v>25.83</v>
      </c>
      <c r="R16" s="1">
        <f>Originial!AE27</f>
        <v>1.7000000000000001E-2</v>
      </c>
      <c r="S16" s="1">
        <f>Originial!AO27</f>
        <v>0.22</v>
      </c>
      <c r="T16" s="1">
        <f>Originial!AP27</f>
        <v>0.14000000000000001</v>
      </c>
      <c r="U16" s="1">
        <f>Originial!AQ27</f>
        <v>0.08</v>
      </c>
      <c r="V16" s="1">
        <f>Originial!AT27</f>
        <v>11.18</v>
      </c>
      <c r="W16" s="1">
        <f>Originial!AU27</f>
        <v>12.46</v>
      </c>
      <c r="X16" s="1">
        <f>Originial!AV27</f>
        <v>9.66</v>
      </c>
      <c r="Y16" s="1">
        <f>Originial!AY27</f>
        <v>27.26</v>
      </c>
      <c r="Z16" s="1">
        <f>Originial!AZ27</f>
        <v>17.79</v>
      </c>
      <c r="AA16" s="1">
        <f>Originial!BA27</f>
        <v>17.600000000000001</v>
      </c>
      <c r="AB16">
        <f>GHG!B32</f>
        <v>5.9795083999999998E-2</v>
      </c>
      <c r="AC16">
        <f>GHG!C32</f>
        <v>6.1988279E-2</v>
      </c>
      <c r="AD16">
        <f>GHG!D32</f>
        <v>7.1614127999999999E-2</v>
      </c>
      <c r="AE16">
        <f>GHG!E32</f>
        <v>6.6629938E-2</v>
      </c>
      <c r="AF16">
        <f>GHG!F32</f>
        <v>3.6624690000000001E-2</v>
      </c>
      <c r="AG16">
        <f>GHG!AB32</f>
        <v>16.35899758</v>
      </c>
      <c r="AH16">
        <f>GHG!AC32</f>
        <v>22.802703749999999</v>
      </c>
      <c r="AI16">
        <f>GHG!AD32</f>
        <v>22.802703999999999</v>
      </c>
      <c r="AJ16">
        <f>GHG!AE32</f>
        <v>22.802703999999999</v>
      </c>
      <c r="AK16">
        <f>GHG!AF32</f>
        <v>19.383531430000001</v>
      </c>
      <c r="AL16">
        <f>GHG!AG32</f>
        <v>19.383531000000001</v>
      </c>
      <c r="AM16">
        <f>GHG!AH32</f>
        <v>19.383531000000001</v>
      </c>
      <c r="AN16">
        <f>GHG!AI32</f>
        <v>22.913345899999999</v>
      </c>
      <c r="AO16">
        <f>GHG!AJ32</f>
        <v>22.5179531</v>
      </c>
      <c r="AP16">
        <f>GHG!B32</f>
        <v>5.9795083999999998E-2</v>
      </c>
      <c r="AQ16">
        <f>GHG!C32</f>
        <v>6.1988279E-2</v>
      </c>
      <c r="AR16">
        <f>GHG!D32</f>
        <v>7.1614127999999999E-2</v>
      </c>
      <c r="AS16">
        <f>GHG!E32</f>
        <v>6.6629938E-2</v>
      </c>
      <c r="AT16">
        <f>GHG!F32</f>
        <v>3.6624690000000001E-2</v>
      </c>
      <c r="AU16">
        <f>GHG!AB96</f>
        <v>8.9736499999999997E-3</v>
      </c>
      <c r="AV16">
        <f>GHG!AC96</f>
        <v>5.3841898999999999E-2</v>
      </c>
      <c r="AW16">
        <f>GHG!AD96</f>
        <v>5.3841899999999998E-2</v>
      </c>
      <c r="AX16">
        <f>GHG!AE96</f>
        <v>5.3841899999999998E-2</v>
      </c>
      <c r="AY16">
        <f>GHG!AF96</f>
        <v>5.3841898999999999E-2</v>
      </c>
      <c r="AZ16">
        <f>GHG!AG96</f>
        <v>5.3841899999999998E-2</v>
      </c>
      <c r="BA16">
        <f>GHG!AH96</f>
        <v>5.3841899999999998E-2</v>
      </c>
      <c r="BB16">
        <f>GHG!AI96</f>
        <v>5.3841898999999999E-2</v>
      </c>
      <c r="BC16">
        <f>GHG!AJ96</f>
        <v>5.3841898999999999E-2</v>
      </c>
      <c r="BD16">
        <f>GHG!B160</f>
        <v>3.462148E-3</v>
      </c>
      <c r="BE16">
        <f>GHG!C160</f>
        <v>3.3369990000000002E-3</v>
      </c>
      <c r="BF16">
        <f>GHG!D160</f>
        <v>4.0645459999999996E-3</v>
      </c>
      <c r="BG16">
        <f>GHG!E160</f>
        <v>3.7597949999999998E-3</v>
      </c>
      <c r="BH16">
        <f>GHG!F160</f>
        <v>2.2525319999999998E-3</v>
      </c>
      <c r="BI16">
        <f>GHG!AB160</f>
        <v>3.4106140000000002E-3</v>
      </c>
      <c r="BJ16">
        <f>GHG!AC160</f>
        <v>1.0231841E-2</v>
      </c>
      <c r="BK16">
        <f>GHG!AD160</f>
        <v>1.0231799999999999E-2</v>
      </c>
      <c r="BL16">
        <f>GHG!AE160</f>
        <v>1.0231799999999999E-2</v>
      </c>
      <c r="BM16">
        <f>GHG!AF160</f>
        <v>1.0231841E-2</v>
      </c>
      <c r="BN16">
        <f>GHG!AG160</f>
        <v>1.0231799999999999E-2</v>
      </c>
      <c r="BO16">
        <f>GHG!AH160</f>
        <v>1.0231799999999999E-2</v>
      </c>
      <c r="BP16">
        <f>GHG!AI160</f>
        <v>1.0231841E-2</v>
      </c>
      <c r="BQ16">
        <f>GHG!AJ160</f>
        <v>1.0231841E-2</v>
      </c>
    </row>
    <row r="17" spans="1:69" x14ac:dyDescent="0.25">
      <c r="A17">
        <v>9</v>
      </c>
      <c r="B17" s="1">
        <f>Originial!B28</f>
        <v>0.06</v>
      </c>
      <c r="C17" s="1">
        <f>Originial!C28</f>
        <v>0.05</v>
      </c>
      <c r="D17" s="1">
        <f>Originial!D28</f>
        <v>0.06</v>
      </c>
      <c r="E17" s="1">
        <f>Originial!E28</f>
        <v>0.05</v>
      </c>
      <c r="F17" s="1">
        <f>Originial!F28</f>
        <v>0.04</v>
      </c>
      <c r="G17" s="1">
        <f>Originial!H28</f>
        <v>74.77</v>
      </c>
      <c r="H17" s="1">
        <f>Originial!J28</f>
        <v>18.27</v>
      </c>
      <c r="I17" s="1">
        <f>Originial!N28</f>
        <v>5</v>
      </c>
      <c r="J17" s="1">
        <f>Originial!O28</f>
        <v>27.43</v>
      </c>
      <c r="K17" s="1">
        <f>Originial!P28</f>
        <v>17.920000000000002</v>
      </c>
      <c r="L17" s="1">
        <f>Originial!Q28</f>
        <v>17.73</v>
      </c>
      <c r="M17" s="1">
        <f>Originial!R28</f>
        <v>29.04</v>
      </c>
      <c r="N17" s="1">
        <f>Originial!S28</f>
        <v>26.97</v>
      </c>
      <c r="O17" s="1">
        <f>Originial!T28</f>
        <v>29.09</v>
      </c>
      <c r="P17" s="1">
        <f>Originial!U28</f>
        <v>29.84</v>
      </c>
      <c r="Q17" s="1">
        <f>Originial!V28</f>
        <v>25.92</v>
      </c>
      <c r="R17" s="1">
        <f>Originial!AE28</f>
        <v>1.7000000000000001E-2</v>
      </c>
      <c r="S17" s="1">
        <f>Originial!AO28</f>
        <v>0.22</v>
      </c>
      <c r="T17" s="1">
        <f>Originial!AP28</f>
        <v>0.14000000000000001</v>
      </c>
      <c r="U17" s="1">
        <f>Originial!AQ28</f>
        <v>0.08</v>
      </c>
      <c r="V17" s="1">
        <f>Originial!AT28</f>
        <v>11.49</v>
      </c>
      <c r="W17" s="1">
        <f>Originial!AU28</f>
        <v>12.72</v>
      </c>
      <c r="X17" s="1">
        <f>Originial!AV28</f>
        <v>9.9499999999999993</v>
      </c>
      <c r="Y17" s="1">
        <f>Originial!AY28</f>
        <v>27.43</v>
      </c>
      <c r="Z17" s="1">
        <f>Originial!AZ28</f>
        <v>17.920000000000002</v>
      </c>
      <c r="AA17" s="1">
        <f>Originial!BA28</f>
        <v>17.73</v>
      </c>
      <c r="AB17">
        <f>GHG!B33</f>
        <v>4.9572655E-2</v>
      </c>
      <c r="AC17">
        <f>GHG!C33</f>
        <v>5.1483650999999998E-2</v>
      </c>
      <c r="AD17">
        <f>GHG!D33</f>
        <v>6.0412369E-2</v>
      </c>
      <c r="AE17">
        <f>GHG!E33</f>
        <v>5.5102223999999998E-2</v>
      </c>
      <c r="AF17">
        <f>GHG!F33</f>
        <v>2.8147220000000001E-2</v>
      </c>
      <c r="AG17">
        <f>GHG!AB33</f>
        <v>16.63051621</v>
      </c>
      <c r="AH17">
        <f>GHG!AC33</f>
        <v>23.181171859999999</v>
      </c>
      <c r="AI17">
        <f>GHG!AD33</f>
        <v>23.181172</v>
      </c>
      <c r="AJ17">
        <f>GHG!AE33</f>
        <v>23.181172</v>
      </c>
      <c r="AK17">
        <f>GHG!AF33</f>
        <v>19.705249800000001</v>
      </c>
      <c r="AL17">
        <f>GHG!AG33</f>
        <v>19.705249999999999</v>
      </c>
      <c r="AM17">
        <f>GHG!AH33</f>
        <v>19.705249999999999</v>
      </c>
      <c r="AN17">
        <f>GHG!AI33</f>
        <v>23.293650400000001</v>
      </c>
      <c r="AO17">
        <f>GHG!AJ33</f>
        <v>22.89169506</v>
      </c>
      <c r="AP17">
        <f>GHG!B33</f>
        <v>4.9572655E-2</v>
      </c>
      <c r="AQ17">
        <f>GHG!C33</f>
        <v>5.1483650999999998E-2</v>
      </c>
      <c r="AR17">
        <f>GHG!D33</f>
        <v>6.0412369E-2</v>
      </c>
      <c r="AS17">
        <f>GHG!E33</f>
        <v>5.5102223999999998E-2</v>
      </c>
      <c r="AT17">
        <f>GHG!F33</f>
        <v>2.8147220000000001E-2</v>
      </c>
      <c r="AU17">
        <f>GHG!AB97</f>
        <v>9.1334339999999993E-3</v>
      </c>
      <c r="AV17">
        <f>GHG!AC97</f>
        <v>5.4800607000000001E-2</v>
      </c>
      <c r="AW17">
        <f>GHG!AD97</f>
        <v>5.4800599999999998E-2</v>
      </c>
      <c r="AX17">
        <f>GHG!AE97</f>
        <v>5.4800599999999998E-2</v>
      </c>
      <c r="AY17">
        <f>GHG!AF97</f>
        <v>5.4800607000000001E-2</v>
      </c>
      <c r="AZ17">
        <f>GHG!AG97</f>
        <v>5.4800599999999998E-2</v>
      </c>
      <c r="BA17">
        <f>GHG!AH97</f>
        <v>5.4800599999999998E-2</v>
      </c>
      <c r="BB17">
        <f>GHG!AI97</f>
        <v>5.4800607000000001E-2</v>
      </c>
      <c r="BC17">
        <f>GHG!AJ97</f>
        <v>5.4800607000000001E-2</v>
      </c>
      <c r="BD17">
        <f>GHG!B161</f>
        <v>3.0790890000000001E-3</v>
      </c>
      <c r="BE17">
        <f>GHG!C161</f>
        <v>2.980744E-3</v>
      </c>
      <c r="BF17">
        <f>GHG!D161</f>
        <v>3.713413E-3</v>
      </c>
      <c r="BG17">
        <f>GHG!E161</f>
        <v>3.3657320000000002E-3</v>
      </c>
      <c r="BH17">
        <f>GHG!F161</f>
        <v>1.839736E-3</v>
      </c>
      <c r="BI17">
        <f>GHG!AB161</f>
        <v>3.5231920000000001E-3</v>
      </c>
      <c r="BJ17">
        <f>GHG!AC161</f>
        <v>1.0569577E-2</v>
      </c>
      <c r="BK17">
        <f>GHG!AD161</f>
        <v>1.05696E-2</v>
      </c>
      <c r="BL17">
        <f>GHG!AE161</f>
        <v>1.05696E-2</v>
      </c>
      <c r="BM17">
        <f>GHG!AF161</f>
        <v>1.0569577E-2</v>
      </c>
      <c r="BN17">
        <f>GHG!AG161</f>
        <v>1.05696E-2</v>
      </c>
      <c r="BO17">
        <f>GHG!AH161</f>
        <v>1.05696E-2</v>
      </c>
      <c r="BP17">
        <f>GHG!AI161</f>
        <v>1.0569577E-2</v>
      </c>
      <c r="BQ17">
        <f>GHG!AJ161</f>
        <v>1.0569577E-2</v>
      </c>
    </row>
    <row r="18" spans="1:69" x14ac:dyDescent="0.25">
      <c r="A18">
        <v>10</v>
      </c>
      <c r="B18" s="1">
        <f>Originial!B29</f>
        <v>0.06</v>
      </c>
      <c r="C18" s="1">
        <f>Originial!C29</f>
        <v>0.05</v>
      </c>
      <c r="D18" s="1">
        <f>Originial!D29</f>
        <v>0.06</v>
      </c>
      <c r="E18" s="1">
        <f>Originial!E29</f>
        <v>0.05</v>
      </c>
      <c r="F18" s="1">
        <f>Originial!F29</f>
        <v>0.04</v>
      </c>
      <c r="G18" s="1">
        <f>Originial!H29</f>
        <v>81.459999999999994</v>
      </c>
      <c r="H18" s="1">
        <f>Originial!J29</f>
        <v>18.25</v>
      </c>
      <c r="I18" s="1">
        <f>Originial!N29</f>
        <v>5</v>
      </c>
      <c r="J18" s="1">
        <f>Originial!O29</f>
        <v>27.65</v>
      </c>
      <c r="K18" s="1">
        <f>Originial!P29</f>
        <v>18.13</v>
      </c>
      <c r="L18" s="1">
        <f>Originial!Q29</f>
        <v>17.940000000000001</v>
      </c>
      <c r="M18" s="1">
        <f>Originial!R29</f>
        <v>29.7</v>
      </c>
      <c r="N18" s="1">
        <f>Originial!S29</f>
        <v>27.32</v>
      </c>
      <c r="O18" s="1">
        <f>Originial!T29</f>
        <v>29.66</v>
      </c>
      <c r="P18" s="1">
        <f>Originial!U29</f>
        <v>30.15</v>
      </c>
      <c r="Q18" s="1">
        <f>Originial!V29</f>
        <v>25.71</v>
      </c>
      <c r="R18" s="1">
        <f>Originial!AE29</f>
        <v>1.7000000000000001E-2</v>
      </c>
      <c r="S18" s="1">
        <f>Originial!AO29</f>
        <v>0.22</v>
      </c>
      <c r="T18" s="1">
        <f>Originial!AP29</f>
        <v>0.15</v>
      </c>
      <c r="U18" s="1">
        <f>Originial!AQ29</f>
        <v>0.08</v>
      </c>
      <c r="V18" s="1">
        <f>Originial!AT29</f>
        <v>11.66</v>
      </c>
      <c r="W18" s="1">
        <f>Originial!AU29</f>
        <v>12.84</v>
      </c>
      <c r="X18" s="1">
        <f>Originial!AV29</f>
        <v>10.06</v>
      </c>
      <c r="Y18" s="1">
        <f>Originial!AY29</f>
        <v>27.65</v>
      </c>
      <c r="Z18" s="1">
        <f>Originial!AZ29</f>
        <v>18.13</v>
      </c>
      <c r="AA18" s="1">
        <f>Originial!BA29</f>
        <v>17.940000000000001</v>
      </c>
      <c r="AB18">
        <f>GHG!B34</f>
        <v>3.8827463999999999E-2</v>
      </c>
      <c r="AC18">
        <f>GHG!C34</f>
        <v>4.0439358000000002E-2</v>
      </c>
      <c r="AD18">
        <f>GHG!D34</f>
        <v>4.8610016999999998E-2</v>
      </c>
      <c r="AE18">
        <f>GHG!E34</f>
        <v>4.2988643E-2</v>
      </c>
      <c r="AF18">
        <f>GHG!F34</f>
        <v>1.9295282E-2</v>
      </c>
      <c r="AG18">
        <f>GHG!AB34</f>
        <v>16.83415518</v>
      </c>
      <c r="AH18">
        <f>GHG!AC34</f>
        <v>23.465022940000001</v>
      </c>
      <c r="AI18">
        <f>GHG!AD34</f>
        <v>23.465022999999999</v>
      </c>
      <c r="AJ18">
        <f>GHG!AE34</f>
        <v>23.465022999999999</v>
      </c>
      <c r="AK18">
        <f>GHG!AF34</f>
        <v>19.946538570000001</v>
      </c>
      <c r="AL18">
        <f>GHG!AG34</f>
        <v>19.946539000000001</v>
      </c>
      <c r="AM18">
        <f>GHG!AH34</f>
        <v>19.946539000000001</v>
      </c>
      <c r="AN18">
        <f>GHG!AI34</f>
        <v>23.578878769999999</v>
      </c>
      <c r="AO18">
        <f>GHG!AJ34</f>
        <v>23.172001529999999</v>
      </c>
      <c r="AP18">
        <f>GHG!B34</f>
        <v>3.8827463999999999E-2</v>
      </c>
      <c r="AQ18">
        <f>GHG!C34</f>
        <v>4.0439358000000002E-2</v>
      </c>
      <c r="AR18">
        <f>GHG!D34</f>
        <v>4.8610016999999998E-2</v>
      </c>
      <c r="AS18">
        <f>GHG!E34</f>
        <v>4.2988643E-2</v>
      </c>
      <c r="AT18">
        <f>GHG!F34</f>
        <v>1.9295282E-2</v>
      </c>
      <c r="AU18">
        <f>GHG!AB98</f>
        <v>9.2933470000000004E-3</v>
      </c>
      <c r="AV18">
        <f>GHG!AC98</f>
        <v>5.5760082000000002E-2</v>
      </c>
      <c r="AW18">
        <f>GHG!AD98</f>
        <v>5.57601E-2</v>
      </c>
      <c r="AX18">
        <f>GHG!AE98</f>
        <v>5.57601E-2</v>
      </c>
      <c r="AY18">
        <f>GHG!AF98</f>
        <v>5.5760082000000002E-2</v>
      </c>
      <c r="AZ18">
        <f>GHG!AG98</f>
        <v>5.57601E-2</v>
      </c>
      <c r="BA18">
        <f>GHG!AH98</f>
        <v>5.57601E-2</v>
      </c>
      <c r="BB18">
        <f>GHG!AI98</f>
        <v>5.5760082000000002E-2</v>
      </c>
      <c r="BC18">
        <f>GHG!AJ98</f>
        <v>5.5760082000000002E-2</v>
      </c>
      <c r="BD18">
        <f>GHG!B162</f>
        <v>2.6642469999999998E-3</v>
      </c>
      <c r="BE18">
        <f>GHG!C162</f>
        <v>2.5946820000000001E-3</v>
      </c>
      <c r="BF18">
        <f>GHG!D162</f>
        <v>3.3312659999999998E-3</v>
      </c>
      <c r="BG18">
        <f>GHG!E162</f>
        <v>2.9385539999999999E-3</v>
      </c>
      <c r="BH18">
        <f>GHG!F162</f>
        <v>1.3958079999999999E-3</v>
      </c>
      <c r="BI18">
        <f>GHG!AB162</f>
        <v>3.6357709999999999E-3</v>
      </c>
      <c r="BJ18">
        <f>GHG!AC162</f>
        <v>1.0907312000000001E-2</v>
      </c>
      <c r="BK18">
        <f>GHG!AD162</f>
        <v>1.09073E-2</v>
      </c>
      <c r="BL18">
        <f>GHG!AE162</f>
        <v>1.09073E-2</v>
      </c>
      <c r="BM18">
        <f>GHG!AF162</f>
        <v>1.0907312000000001E-2</v>
      </c>
      <c r="BN18">
        <f>GHG!AG162</f>
        <v>1.09073E-2</v>
      </c>
      <c r="BO18">
        <f>GHG!AH162</f>
        <v>1.09073E-2</v>
      </c>
      <c r="BP18">
        <f>GHG!AI162</f>
        <v>1.0907312000000001E-2</v>
      </c>
      <c r="BQ18">
        <f>GHG!AJ162</f>
        <v>1.0907312000000001E-2</v>
      </c>
    </row>
    <row r="19" spans="1:69" x14ac:dyDescent="0.25">
      <c r="A19">
        <v>11</v>
      </c>
      <c r="B19" s="1">
        <f>Originial!B30</f>
        <v>0.06</v>
      </c>
      <c r="C19" s="1">
        <f>Originial!C30</f>
        <v>0.05</v>
      </c>
      <c r="D19" s="1">
        <f>Originial!D30</f>
        <v>0.06</v>
      </c>
      <c r="E19" s="1">
        <f>Originial!E30</f>
        <v>0.05</v>
      </c>
      <c r="F19" s="1">
        <f>Originial!F30</f>
        <v>0.04</v>
      </c>
      <c r="G19" s="1">
        <f>Originial!H30</f>
        <v>85.29</v>
      </c>
      <c r="H19" s="1">
        <f>Originial!J30</f>
        <v>18.25</v>
      </c>
      <c r="I19" s="1">
        <f>Originial!N30</f>
        <v>5</v>
      </c>
      <c r="J19" s="1">
        <f>Originial!O30</f>
        <v>27.69</v>
      </c>
      <c r="K19" s="1">
        <f>Originial!P30</f>
        <v>18.21</v>
      </c>
      <c r="L19" s="1">
        <f>Originial!Q30</f>
        <v>18.03</v>
      </c>
      <c r="M19" s="1">
        <f>Originial!R30</f>
        <v>30.1</v>
      </c>
      <c r="N19" s="1">
        <f>Originial!S30</f>
        <v>27.43</v>
      </c>
      <c r="O19" s="1">
        <f>Originial!T30</f>
        <v>29.84</v>
      </c>
      <c r="P19" s="1">
        <f>Originial!U30</f>
        <v>30.25</v>
      </c>
      <c r="Q19" s="1">
        <f>Originial!V30</f>
        <v>25.73</v>
      </c>
      <c r="R19" s="1">
        <f>Originial!AE30</f>
        <v>1.7000000000000001E-2</v>
      </c>
      <c r="S19" s="1">
        <f>Originial!AO30</f>
        <v>0.21</v>
      </c>
      <c r="T19" s="1">
        <f>Originial!AP30</f>
        <v>0.14000000000000001</v>
      </c>
      <c r="U19" s="1">
        <f>Originial!AQ30</f>
        <v>0.08</v>
      </c>
      <c r="V19" s="1">
        <f>Originial!AT30</f>
        <v>11.71</v>
      </c>
      <c r="W19" s="1">
        <f>Originial!AU30</f>
        <v>12.83</v>
      </c>
      <c r="X19" s="1">
        <f>Originial!AV30</f>
        <v>10.02</v>
      </c>
      <c r="Y19" s="1">
        <f>Originial!AY30</f>
        <v>27.69</v>
      </c>
      <c r="Z19" s="1">
        <f>Originial!AZ30</f>
        <v>18.21</v>
      </c>
      <c r="AA19" s="1">
        <f>Originial!BA30</f>
        <v>18.03</v>
      </c>
      <c r="AB19">
        <f>GHG!B35</f>
        <v>3.7995779E-2</v>
      </c>
      <c r="AC19">
        <f>GHG!C35</f>
        <v>3.8956439000000002E-2</v>
      </c>
      <c r="AD19">
        <f>GHG!D35</f>
        <v>4.5610629E-2</v>
      </c>
      <c r="AE19">
        <f>GHG!E35</f>
        <v>4.0649780000000003E-2</v>
      </c>
      <c r="AF19">
        <f>GHG!F35</f>
        <v>1.9013858000000002E-2</v>
      </c>
      <c r="AG19">
        <f>GHG!AB35</f>
        <v>17.10567382</v>
      </c>
      <c r="AH19">
        <f>GHG!AC35</f>
        <v>23.843491060000002</v>
      </c>
      <c r="AI19">
        <f>GHG!AD35</f>
        <v>23.843491</v>
      </c>
      <c r="AJ19">
        <f>GHG!AE35</f>
        <v>23.843491</v>
      </c>
      <c r="AK19">
        <f>GHG!AF35</f>
        <v>20.26825693</v>
      </c>
      <c r="AL19">
        <f>GHG!AG35</f>
        <v>20.268256999999998</v>
      </c>
      <c r="AM19">
        <f>GHG!AH35</f>
        <v>20.268256999999998</v>
      </c>
      <c r="AN19">
        <f>GHG!AI35</f>
        <v>23.95918326</v>
      </c>
      <c r="AO19">
        <f>GHG!AJ35</f>
        <v>23.54574349</v>
      </c>
      <c r="AP19">
        <f>GHG!B35</f>
        <v>3.7995779E-2</v>
      </c>
      <c r="AQ19">
        <f>GHG!C35</f>
        <v>3.8956439000000002E-2</v>
      </c>
      <c r="AR19">
        <f>GHG!D35</f>
        <v>4.5610629E-2</v>
      </c>
      <c r="AS19">
        <f>GHG!E35</f>
        <v>4.0649780000000003E-2</v>
      </c>
      <c r="AT19">
        <f>GHG!F35</f>
        <v>1.9013858000000002E-2</v>
      </c>
      <c r="AU19">
        <f>GHG!AB99</f>
        <v>9.4532590000000003E-3</v>
      </c>
      <c r="AV19">
        <f>GHG!AC99</f>
        <v>5.6719556999999997E-2</v>
      </c>
      <c r="AW19">
        <f>GHG!AD99</f>
        <v>5.6719600000000002E-2</v>
      </c>
      <c r="AX19">
        <f>GHG!AE99</f>
        <v>5.6719600000000002E-2</v>
      </c>
      <c r="AY19">
        <f>GHG!AF99</f>
        <v>5.6719556999999997E-2</v>
      </c>
      <c r="AZ19">
        <f>GHG!AG99</f>
        <v>5.6719600000000002E-2</v>
      </c>
      <c r="BA19">
        <f>GHG!AH99</f>
        <v>5.6719600000000002E-2</v>
      </c>
      <c r="BB19">
        <f>GHG!AI99</f>
        <v>5.6719556999999997E-2</v>
      </c>
      <c r="BC19">
        <f>GHG!AJ99</f>
        <v>5.6719556999999997E-2</v>
      </c>
      <c r="BD19">
        <f>GHG!B163</f>
        <v>2.6842709999999998E-3</v>
      </c>
      <c r="BE19">
        <f>GHG!C163</f>
        <v>2.5765480000000001E-3</v>
      </c>
      <c r="BF19">
        <f>GHG!D163</f>
        <v>3.2049650000000002E-3</v>
      </c>
      <c r="BG19">
        <f>GHG!E163</f>
        <v>2.8520189999999999E-3</v>
      </c>
      <c r="BH19">
        <f>GHG!F163</f>
        <v>1.4110749999999999E-3</v>
      </c>
      <c r="BI19">
        <f>GHG!AB163</f>
        <v>3.7470699999999999E-3</v>
      </c>
      <c r="BJ19">
        <f>GHG!AC163</f>
        <v>1.1241209E-2</v>
      </c>
      <c r="BK19">
        <f>GHG!AD163</f>
        <v>1.12412E-2</v>
      </c>
      <c r="BL19">
        <f>GHG!AE163</f>
        <v>1.12412E-2</v>
      </c>
      <c r="BM19">
        <f>GHG!AF163</f>
        <v>1.1241209E-2</v>
      </c>
      <c r="BN19">
        <f>GHG!AG163</f>
        <v>1.12412E-2</v>
      </c>
      <c r="BO19">
        <f>GHG!AH163</f>
        <v>1.12412E-2</v>
      </c>
      <c r="BP19">
        <f>GHG!AI163</f>
        <v>1.1241209E-2</v>
      </c>
      <c r="BQ19">
        <f>GHG!AJ163</f>
        <v>1.1241209E-2</v>
      </c>
    </row>
    <row r="20" spans="1:69" x14ac:dyDescent="0.25">
      <c r="A20">
        <v>12</v>
      </c>
      <c r="B20" s="1">
        <f>Originial!B31</f>
        <v>0.06</v>
      </c>
      <c r="C20" s="1">
        <f>Originial!C31</f>
        <v>0.05</v>
      </c>
      <c r="D20" s="1">
        <f>Originial!D31</f>
        <v>0.06</v>
      </c>
      <c r="E20" s="1">
        <f>Originial!E31</f>
        <v>0.05</v>
      </c>
      <c r="F20" s="1">
        <f>Originial!F31</f>
        <v>0.04</v>
      </c>
      <c r="G20" s="1">
        <f>Originial!H31</f>
        <v>87.17</v>
      </c>
      <c r="H20" s="1">
        <f>Originial!J31</f>
        <v>18.239999999999998</v>
      </c>
      <c r="I20" s="1">
        <f>Originial!N31</f>
        <v>4.99</v>
      </c>
      <c r="J20" s="1">
        <f>Originial!O31</f>
        <v>27.91</v>
      </c>
      <c r="K20" s="1">
        <f>Originial!P31</f>
        <v>18.38</v>
      </c>
      <c r="L20" s="1">
        <f>Originial!Q31</f>
        <v>18.21</v>
      </c>
      <c r="M20" s="1">
        <f>Originial!R31</f>
        <v>30.32</v>
      </c>
      <c r="N20" s="1">
        <f>Originial!S31</f>
        <v>27.46</v>
      </c>
      <c r="O20" s="1">
        <f>Originial!T31</f>
        <v>29.89</v>
      </c>
      <c r="P20" s="1">
        <f>Originial!U31</f>
        <v>30.47</v>
      </c>
      <c r="Q20" s="1">
        <f>Originial!V31</f>
        <v>25.65</v>
      </c>
      <c r="R20" s="1">
        <f>Originial!AE31</f>
        <v>1.7000000000000001E-2</v>
      </c>
      <c r="S20" s="1">
        <f>Originial!AO31</f>
        <v>0.22</v>
      </c>
      <c r="T20" s="1">
        <f>Originial!AP31</f>
        <v>0.14000000000000001</v>
      </c>
      <c r="U20" s="1">
        <f>Originial!AQ31</f>
        <v>0.08</v>
      </c>
      <c r="V20" s="1">
        <f>Originial!AT31</f>
        <v>11.68</v>
      </c>
      <c r="W20" s="1">
        <f>Originial!AU31</f>
        <v>12.75</v>
      </c>
      <c r="X20" s="1">
        <f>Originial!AV31</f>
        <v>9.8699999999999992</v>
      </c>
      <c r="Y20" s="1">
        <f>Originial!AY31</f>
        <v>27.91</v>
      </c>
      <c r="Z20" s="1">
        <f>Originial!AZ31</f>
        <v>18.38</v>
      </c>
      <c r="AA20" s="1">
        <f>Originial!BA31</f>
        <v>18.21</v>
      </c>
      <c r="AB20">
        <f>GHG!B36</f>
        <v>3.7117811000000001E-2</v>
      </c>
      <c r="AC20">
        <f>GHG!C36</f>
        <v>3.7405737000000001E-2</v>
      </c>
      <c r="AD20">
        <f>GHG!D36</f>
        <v>4.2491133E-2</v>
      </c>
      <c r="AE20">
        <f>GHG!E36</f>
        <v>3.8214655E-2</v>
      </c>
      <c r="AF20">
        <f>GHG!F36</f>
        <v>1.871362E-2</v>
      </c>
      <c r="AG20">
        <f>GHG!AB36</f>
        <v>17.377192449999999</v>
      </c>
      <c r="AH20">
        <f>GHG!AC36</f>
        <v>24.221959170000002</v>
      </c>
      <c r="AI20">
        <f>GHG!AD36</f>
        <v>24.221958999999998</v>
      </c>
      <c r="AJ20">
        <f>GHG!AE36</f>
        <v>24.221958999999998</v>
      </c>
      <c r="AK20">
        <f>GHG!AF36</f>
        <v>20.589975299999999</v>
      </c>
      <c r="AL20">
        <f>GHG!AG36</f>
        <v>20.589974999999999</v>
      </c>
      <c r="AM20">
        <f>GHG!AH36</f>
        <v>20.589974999999999</v>
      </c>
      <c r="AN20">
        <f>GHG!AI36</f>
        <v>24.339487760000001</v>
      </c>
      <c r="AO20">
        <f>GHG!AJ36</f>
        <v>23.91948545</v>
      </c>
      <c r="AP20">
        <f>GHG!B36</f>
        <v>3.7117811000000001E-2</v>
      </c>
      <c r="AQ20">
        <f>GHG!C36</f>
        <v>3.7405737000000001E-2</v>
      </c>
      <c r="AR20">
        <f>GHG!D36</f>
        <v>4.2491133E-2</v>
      </c>
      <c r="AS20">
        <f>GHG!E36</f>
        <v>3.8214655E-2</v>
      </c>
      <c r="AT20">
        <f>GHG!F36</f>
        <v>1.871362E-2</v>
      </c>
      <c r="AU20">
        <f>GHG!AB100</f>
        <v>9.6131719999999997E-3</v>
      </c>
      <c r="AV20">
        <f>GHG!AC100</f>
        <v>5.7679031999999998E-2</v>
      </c>
      <c r="AW20">
        <f>GHG!AD100</f>
        <v>5.7679000000000001E-2</v>
      </c>
      <c r="AX20">
        <f>GHG!AE100</f>
        <v>5.7679000000000001E-2</v>
      </c>
      <c r="AY20">
        <f>GHG!AF100</f>
        <v>5.7679031999999998E-2</v>
      </c>
      <c r="AZ20">
        <f>GHG!AG100</f>
        <v>5.7679000000000001E-2</v>
      </c>
      <c r="BA20">
        <f>GHG!AH100</f>
        <v>5.7679000000000001E-2</v>
      </c>
      <c r="BB20">
        <f>GHG!AI100</f>
        <v>5.7679031999999998E-2</v>
      </c>
      <c r="BC20">
        <f>GHG!AJ100</f>
        <v>5.7679031999999998E-2</v>
      </c>
      <c r="BD20">
        <f>GHG!B164</f>
        <v>2.7015350000000001E-3</v>
      </c>
      <c r="BE20">
        <f>GHG!C164</f>
        <v>2.553465E-3</v>
      </c>
      <c r="BF20">
        <f>GHG!D164</f>
        <v>3.066119E-3</v>
      </c>
      <c r="BG20">
        <f>GHG!E164</f>
        <v>2.755913E-3</v>
      </c>
      <c r="BH20">
        <f>GHG!F164</f>
        <v>1.425183E-3</v>
      </c>
      <c r="BI20">
        <f>GHG!AB164</f>
        <v>3.8596479999999998E-3</v>
      </c>
      <c r="BJ20">
        <f>GHG!AC164</f>
        <v>1.1578944000000001E-2</v>
      </c>
      <c r="BK20">
        <f>GHG!AD164</f>
        <v>1.15789E-2</v>
      </c>
      <c r="BL20">
        <f>GHG!AE164</f>
        <v>1.15789E-2</v>
      </c>
      <c r="BM20">
        <f>GHG!AF164</f>
        <v>1.1578944000000001E-2</v>
      </c>
      <c r="BN20">
        <f>GHG!AG164</f>
        <v>1.15789E-2</v>
      </c>
      <c r="BO20">
        <f>GHG!AH164</f>
        <v>1.15789E-2</v>
      </c>
      <c r="BP20">
        <f>GHG!AI164</f>
        <v>1.1578944000000001E-2</v>
      </c>
      <c r="BQ20">
        <f>GHG!AJ164</f>
        <v>1.1578944000000001E-2</v>
      </c>
    </row>
    <row r="21" spans="1:69" x14ac:dyDescent="0.25">
      <c r="A21">
        <v>13</v>
      </c>
      <c r="B21" s="1">
        <f>Originial!B32</f>
        <v>0.06</v>
      </c>
      <c r="C21" s="1">
        <f>Originial!C32</f>
        <v>0.05</v>
      </c>
      <c r="D21" s="1">
        <f>Originial!D32</f>
        <v>0.06</v>
      </c>
      <c r="E21" s="1">
        <f>Originial!E32</f>
        <v>0.05</v>
      </c>
      <c r="F21" s="1">
        <f>Originial!F32</f>
        <v>0.04</v>
      </c>
      <c r="G21" s="1">
        <f>Originial!H32</f>
        <v>86.81</v>
      </c>
      <c r="H21" s="1">
        <f>Originial!J32</f>
        <v>18.23</v>
      </c>
      <c r="I21" s="1">
        <f>Originial!N32</f>
        <v>4.99</v>
      </c>
      <c r="J21" s="1">
        <f>Originial!O32</f>
        <v>28.16</v>
      </c>
      <c r="K21" s="1">
        <f>Originial!P32</f>
        <v>18.489999999999998</v>
      </c>
      <c r="L21" s="1">
        <f>Originial!Q32</f>
        <v>18.3</v>
      </c>
      <c r="M21" s="1">
        <f>Originial!R32</f>
        <v>30.4</v>
      </c>
      <c r="N21" s="1">
        <f>Originial!S32</f>
        <v>27.4</v>
      </c>
      <c r="O21" s="1">
        <f>Originial!T32</f>
        <v>29.8</v>
      </c>
      <c r="P21" s="1">
        <f>Originial!U32</f>
        <v>30.55</v>
      </c>
      <c r="Q21" s="1">
        <f>Originial!V32</f>
        <v>25.24</v>
      </c>
      <c r="R21" s="1">
        <f>Originial!AE32</f>
        <v>1.7000000000000001E-2</v>
      </c>
      <c r="S21" s="1">
        <f>Originial!AO32</f>
        <v>0.21</v>
      </c>
      <c r="T21" s="1">
        <f>Originial!AP32</f>
        <v>0.14000000000000001</v>
      </c>
      <c r="U21" s="1">
        <f>Originial!AQ32</f>
        <v>0.08</v>
      </c>
      <c r="V21" s="1">
        <f>Originial!AT32</f>
        <v>11.61</v>
      </c>
      <c r="W21" s="1">
        <f>Originial!AU32</f>
        <v>12.63</v>
      </c>
      <c r="X21" s="1">
        <f>Originial!AV32</f>
        <v>9.65</v>
      </c>
      <c r="Y21" s="1">
        <f>Originial!AY32</f>
        <v>28.16</v>
      </c>
      <c r="Z21" s="1">
        <f>Originial!AZ32</f>
        <v>18.489999999999998</v>
      </c>
      <c r="AA21" s="1">
        <f>Originial!BA32</f>
        <v>18.3</v>
      </c>
      <c r="AB21">
        <f>GHG!B37</f>
        <v>3.6054353999999997E-2</v>
      </c>
      <c r="AC21">
        <f>GHG!C37</f>
        <v>3.5649607999999999E-2</v>
      </c>
      <c r="AD21">
        <f>GHG!D37</f>
        <v>3.9100559999999999E-2</v>
      </c>
      <c r="AE21">
        <f>GHG!E37</f>
        <v>3.5546025000000002E-2</v>
      </c>
      <c r="AF21">
        <f>GHG!F37</f>
        <v>1.8323819000000002E-2</v>
      </c>
      <c r="AG21">
        <f>GHG!AB37</f>
        <v>17.580831419999999</v>
      </c>
      <c r="AH21">
        <f>GHG!AC37</f>
        <v>24.50581025</v>
      </c>
      <c r="AI21">
        <f>GHG!AD37</f>
        <v>24.50581</v>
      </c>
      <c r="AJ21">
        <f>GHG!AE37</f>
        <v>24.50581</v>
      </c>
      <c r="AK21">
        <f>GHG!AF37</f>
        <v>20.83126407</v>
      </c>
      <c r="AL21">
        <f>GHG!AG37</f>
        <v>20.831264000000001</v>
      </c>
      <c r="AM21">
        <f>GHG!AH37</f>
        <v>20.831264000000001</v>
      </c>
      <c r="AN21">
        <f>GHG!AI37</f>
        <v>24.624716129999999</v>
      </c>
      <c r="AO21">
        <f>GHG!AJ37</f>
        <v>24.199791919999999</v>
      </c>
      <c r="AP21">
        <f>GHG!B37</f>
        <v>3.6054353999999997E-2</v>
      </c>
      <c r="AQ21">
        <f>GHG!C37</f>
        <v>3.5649607999999999E-2</v>
      </c>
      <c r="AR21">
        <f>GHG!D37</f>
        <v>3.9100559999999999E-2</v>
      </c>
      <c r="AS21">
        <f>GHG!E37</f>
        <v>3.5546025000000002E-2</v>
      </c>
      <c r="AT21">
        <f>GHG!F37</f>
        <v>1.8323819000000002E-2</v>
      </c>
      <c r="AU21">
        <f>GHG!AB101</f>
        <v>9.7730839999999996E-3</v>
      </c>
      <c r="AV21">
        <f>GHG!AC101</f>
        <v>5.8638506999999999E-2</v>
      </c>
      <c r="AW21">
        <f>GHG!AD101</f>
        <v>5.8638500000000003E-2</v>
      </c>
      <c r="AX21">
        <f>GHG!AE101</f>
        <v>5.8638500000000003E-2</v>
      </c>
      <c r="AY21">
        <f>GHG!AF101</f>
        <v>5.8638506999999999E-2</v>
      </c>
      <c r="AZ21">
        <f>GHG!AG101</f>
        <v>5.8638500000000003E-2</v>
      </c>
      <c r="BA21">
        <f>GHG!AH101</f>
        <v>5.8638500000000003E-2</v>
      </c>
      <c r="BB21">
        <f>GHG!AI101</f>
        <v>5.8638506999999999E-2</v>
      </c>
      <c r="BC21">
        <f>GHG!AJ101</f>
        <v>5.8638506999999999E-2</v>
      </c>
      <c r="BD21">
        <f>GHG!B165</f>
        <v>2.7151020000000001E-3</v>
      </c>
      <c r="BE21">
        <f>GHG!C165</f>
        <v>2.5245189999999998E-3</v>
      </c>
      <c r="BF21">
        <f>GHG!D165</f>
        <v>2.9135559999999999E-3</v>
      </c>
      <c r="BG21">
        <f>GHG!E165</f>
        <v>2.6492009999999999E-3</v>
      </c>
      <c r="BH21">
        <f>GHG!F165</f>
        <v>1.4376409999999999E-3</v>
      </c>
      <c r="BI21">
        <f>GHG!AB165</f>
        <v>3.972227E-3</v>
      </c>
      <c r="BJ21">
        <f>GHG!AC165</f>
        <v>1.1916680000000001E-2</v>
      </c>
      <c r="BK21">
        <f>GHG!AD165</f>
        <v>1.1916700000000001E-2</v>
      </c>
      <c r="BL21">
        <f>GHG!AE165</f>
        <v>1.1916700000000001E-2</v>
      </c>
      <c r="BM21">
        <f>GHG!AF165</f>
        <v>1.1916680000000001E-2</v>
      </c>
      <c r="BN21">
        <f>GHG!AG165</f>
        <v>1.1916700000000001E-2</v>
      </c>
      <c r="BO21">
        <f>GHG!AH165</f>
        <v>1.1916700000000001E-2</v>
      </c>
      <c r="BP21">
        <f>GHG!AI165</f>
        <v>1.1916680000000001E-2</v>
      </c>
      <c r="BQ21">
        <f>GHG!AJ165</f>
        <v>1.1916680000000001E-2</v>
      </c>
    </row>
    <row r="22" spans="1:69" x14ac:dyDescent="0.25">
      <c r="A22">
        <v>14</v>
      </c>
      <c r="B22" s="1">
        <f>Originial!B33</f>
        <v>0.06</v>
      </c>
      <c r="C22" s="1">
        <f>Originial!C33</f>
        <v>0.05</v>
      </c>
      <c r="D22" s="1">
        <f>Originial!D33</f>
        <v>0.06</v>
      </c>
      <c r="E22" s="1">
        <f>Originial!E33</f>
        <v>0.05</v>
      </c>
      <c r="F22" s="1">
        <f>Originial!F33</f>
        <v>0.04</v>
      </c>
      <c r="G22" s="1">
        <f>Originial!H33</f>
        <v>86.43</v>
      </c>
      <c r="H22" s="1">
        <f>Originial!J33</f>
        <v>18.22</v>
      </c>
      <c r="I22" s="1">
        <f>Originial!N33</f>
        <v>4.99</v>
      </c>
      <c r="J22" s="1">
        <f>Originial!O33</f>
        <v>28.3</v>
      </c>
      <c r="K22" s="1">
        <f>Originial!P33</f>
        <v>18.61</v>
      </c>
      <c r="L22" s="1">
        <f>Originial!Q33</f>
        <v>18.43</v>
      </c>
      <c r="M22" s="1">
        <f>Originial!R33</f>
        <v>30.43</v>
      </c>
      <c r="N22" s="1">
        <f>Originial!S33</f>
        <v>27.37</v>
      </c>
      <c r="O22" s="1">
        <f>Originial!T33</f>
        <v>29.75</v>
      </c>
      <c r="P22" s="1">
        <f>Originial!U33</f>
        <v>30.72</v>
      </c>
      <c r="Q22" s="1">
        <f>Originial!V33</f>
        <v>25.18</v>
      </c>
      <c r="R22" s="1">
        <f>Originial!AE33</f>
        <v>1.7000000000000001E-2</v>
      </c>
      <c r="S22" s="1">
        <f>Originial!AO33</f>
        <v>0.21</v>
      </c>
      <c r="T22" s="1">
        <f>Originial!AP33</f>
        <v>0.14000000000000001</v>
      </c>
      <c r="U22" s="1">
        <f>Originial!AQ33</f>
        <v>0.08</v>
      </c>
      <c r="V22" s="1">
        <f>Originial!AT33</f>
        <v>11.58</v>
      </c>
      <c r="W22" s="1">
        <f>Originial!AU33</f>
        <v>12.55</v>
      </c>
      <c r="X22" s="1">
        <f>Originial!AV33</f>
        <v>9.52</v>
      </c>
      <c r="Y22" s="1">
        <f>Originial!AY33</f>
        <v>28.3</v>
      </c>
      <c r="Z22" s="1">
        <f>Originial!AZ33</f>
        <v>18.61</v>
      </c>
      <c r="AA22" s="1">
        <f>Originial!BA33</f>
        <v>18.43</v>
      </c>
      <c r="AB22">
        <f>GHG!B38</f>
        <v>3.5089604000000003E-2</v>
      </c>
      <c r="AC22">
        <f>GHG!C38</f>
        <v>3.3971812999999997E-2</v>
      </c>
      <c r="AD22">
        <f>GHG!D38</f>
        <v>3.575586E-2</v>
      </c>
      <c r="AE22">
        <f>GHG!E38</f>
        <v>3.2930411E-2</v>
      </c>
      <c r="AF22">
        <f>GHG!F38</f>
        <v>1.7988305E-2</v>
      </c>
      <c r="AG22">
        <f>GHG!AB38</f>
        <v>17.852350049999998</v>
      </c>
      <c r="AH22">
        <f>GHG!AC38</f>
        <v>24.88427836</v>
      </c>
      <c r="AI22">
        <f>GHG!AD38</f>
        <v>24.884277999999998</v>
      </c>
      <c r="AJ22">
        <f>GHG!AE38</f>
        <v>24.884277999999998</v>
      </c>
      <c r="AK22">
        <f>GHG!AF38</f>
        <v>21.152982430000002</v>
      </c>
      <c r="AL22">
        <f>GHG!AG38</f>
        <v>21.152982000000002</v>
      </c>
      <c r="AM22">
        <f>GHG!AH38</f>
        <v>21.152982000000002</v>
      </c>
      <c r="AN22">
        <f>GHG!AI38</f>
        <v>25.005020630000001</v>
      </c>
      <c r="AO22">
        <f>GHG!AJ38</f>
        <v>24.573533879999999</v>
      </c>
      <c r="AP22">
        <f>GHG!B38</f>
        <v>3.5089604000000003E-2</v>
      </c>
      <c r="AQ22">
        <f>GHG!C38</f>
        <v>3.3971812999999997E-2</v>
      </c>
      <c r="AR22">
        <f>GHG!D38</f>
        <v>3.575586E-2</v>
      </c>
      <c r="AS22">
        <f>GHG!E38</f>
        <v>3.2930411E-2</v>
      </c>
      <c r="AT22">
        <f>GHG!F38</f>
        <v>1.7988305E-2</v>
      </c>
      <c r="AU22">
        <f>GHG!AB102</f>
        <v>9.9329970000000007E-3</v>
      </c>
      <c r="AV22">
        <f>GHG!AC102</f>
        <v>5.9597982000000001E-2</v>
      </c>
      <c r="AW22">
        <f>GHG!AD102</f>
        <v>5.9597999999999998E-2</v>
      </c>
      <c r="AX22">
        <f>GHG!AE102</f>
        <v>5.9597999999999998E-2</v>
      </c>
      <c r="AY22">
        <f>GHG!AF102</f>
        <v>5.9597982000000001E-2</v>
      </c>
      <c r="AZ22">
        <f>GHG!AG102</f>
        <v>5.9597999999999998E-2</v>
      </c>
      <c r="BA22">
        <f>GHG!AH102</f>
        <v>5.9597999999999998E-2</v>
      </c>
      <c r="BB22">
        <f>GHG!AI102</f>
        <v>5.9597982000000001E-2</v>
      </c>
      <c r="BC22">
        <f>GHG!AJ102</f>
        <v>5.9597982000000001E-2</v>
      </c>
      <c r="BD22">
        <f>GHG!B166</f>
        <v>2.7249710000000001E-3</v>
      </c>
      <c r="BE22">
        <f>GHG!C166</f>
        <v>2.4897109999999999E-3</v>
      </c>
      <c r="BF22">
        <f>GHG!D166</f>
        <v>2.7472759999999999E-3</v>
      </c>
      <c r="BG22">
        <f>GHG!E166</f>
        <v>2.5318839999999999E-3</v>
      </c>
      <c r="BH22">
        <f>GHG!F166</f>
        <v>1.448448E-3</v>
      </c>
      <c r="BI22">
        <f>GHG!AB166</f>
        <v>4.0848050000000004E-3</v>
      </c>
      <c r="BJ22">
        <f>GHG!AC166</f>
        <v>1.2254414999999999E-2</v>
      </c>
      <c r="BK22">
        <f>GHG!AD166</f>
        <v>1.22544E-2</v>
      </c>
      <c r="BL22">
        <f>GHG!AE166</f>
        <v>1.22544E-2</v>
      </c>
      <c r="BM22">
        <f>GHG!AF166</f>
        <v>1.2254414999999999E-2</v>
      </c>
      <c r="BN22">
        <f>GHG!AG166</f>
        <v>1.22544E-2</v>
      </c>
      <c r="BO22">
        <f>GHG!AH166</f>
        <v>1.22544E-2</v>
      </c>
      <c r="BP22">
        <f>GHG!AI166</f>
        <v>1.2254414999999999E-2</v>
      </c>
      <c r="BQ22">
        <f>GHG!AJ166</f>
        <v>1.2254414999999999E-2</v>
      </c>
    </row>
    <row r="23" spans="1:69" x14ac:dyDescent="0.25">
      <c r="A23">
        <v>15</v>
      </c>
      <c r="B23" s="1">
        <f>Originial!B34</f>
        <v>7.0000000000000007E-2</v>
      </c>
      <c r="C23" s="1">
        <f>Originial!C34</f>
        <v>0.05</v>
      </c>
      <c r="D23" s="1">
        <f>Originial!D34</f>
        <v>7.0000000000000007E-2</v>
      </c>
      <c r="E23" s="1">
        <f>Originial!E34</f>
        <v>0.05</v>
      </c>
      <c r="F23" s="1">
        <f>Originial!F34</f>
        <v>0.04</v>
      </c>
      <c r="G23" s="1">
        <f>Originial!H34</f>
        <v>86.07</v>
      </c>
      <c r="H23" s="1">
        <f>Originial!J34</f>
        <v>18.22</v>
      </c>
      <c r="I23" s="1">
        <f>Originial!N34</f>
        <v>4.99</v>
      </c>
      <c r="J23" s="1">
        <f>Originial!O34</f>
        <v>28.56</v>
      </c>
      <c r="K23" s="1">
        <f>Originial!P34</f>
        <v>18.82</v>
      </c>
      <c r="L23" s="1">
        <f>Originial!Q34</f>
        <v>18.64</v>
      </c>
      <c r="M23" s="1">
        <f>Originial!R34</f>
        <v>30.52</v>
      </c>
      <c r="N23" s="1">
        <f>Originial!S34</f>
        <v>27.48</v>
      </c>
      <c r="O23" s="1">
        <f>Originial!T34</f>
        <v>29.93</v>
      </c>
      <c r="P23" s="1">
        <f>Originial!U34</f>
        <v>30.96</v>
      </c>
      <c r="Q23" s="1">
        <f>Originial!V34</f>
        <v>25.17</v>
      </c>
      <c r="R23" s="1">
        <f>Originial!AE34</f>
        <v>1.7000000000000001E-2</v>
      </c>
      <c r="S23" s="1">
        <f>Originial!AO34</f>
        <v>0.24</v>
      </c>
      <c r="T23" s="1">
        <f>Originial!AP34</f>
        <v>0.16</v>
      </c>
      <c r="U23" s="1">
        <f>Originial!AQ34</f>
        <v>0.09</v>
      </c>
      <c r="V23" s="1">
        <f>Originial!AT34</f>
        <v>11.61</v>
      </c>
      <c r="W23" s="1">
        <f>Originial!AU34</f>
        <v>12.54</v>
      </c>
      <c r="X23" s="1">
        <f>Originial!AV34</f>
        <v>9.5</v>
      </c>
      <c r="Y23" s="1">
        <f>Originial!AY34</f>
        <v>28.56</v>
      </c>
      <c r="Z23" s="1">
        <f>Originial!AZ34</f>
        <v>18.82</v>
      </c>
      <c r="AA23" s="1">
        <f>Originial!BA34</f>
        <v>18.64</v>
      </c>
      <c r="AB23">
        <f>GHG!B39</f>
        <v>3.4078570000000002E-2</v>
      </c>
      <c r="AC23">
        <f>GHG!C39</f>
        <v>3.2226233999999999E-2</v>
      </c>
      <c r="AD23">
        <f>GHG!D39</f>
        <v>3.2291051000000001E-2</v>
      </c>
      <c r="AE23">
        <f>GHG!E39</f>
        <v>3.0218535000000001E-2</v>
      </c>
      <c r="AF23">
        <f>GHG!F39</f>
        <v>1.7633975999999999E-2</v>
      </c>
      <c r="AG23">
        <f>GHG!AB39</f>
        <v>18.123868689999998</v>
      </c>
      <c r="AH23">
        <f>GHG!AC39</f>
        <v>25.262746480000001</v>
      </c>
      <c r="AI23">
        <f>GHG!AD39</f>
        <v>25.262746</v>
      </c>
      <c r="AJ23">
        <f>GHG!AE39</f>
        <v>25.262746</v>
      </c>
      <c r="AK23">
        <f>GHG!AF39</f>
        <v>21.474700800000001</v>
      </c>
      <c r="AL23">
        <f>GHG!AG39</f>
        <v>21.474701</v>
      </c>
      <c r="AM23">
        <f>GHG!AH39</f>
        <v>21.474701</v>
      </c>
      <c r="AN23">
        <f>GHG!AI39</f>
        <v>25.385325129999998</v>
      </c>
      <c r="AO23">
        <f>GHG!AJ39</f>
        <v>24.94727584</v>
      </c>
      <c r="AP23">
        <f>GHG!B39</f>
        <v>3.4078570000000002E-2</v>
      </c>
      <c r="AQ23">
        <f>GHG!C39</f>
        <v>3.2226233999999999E-2</v>
      </c>
      <c r="AR23">
        <f>GHG!D39</f>
        <v>3.2291051000000001E-2</v>
      </c>
      <c r="AS23">
        <f>GHG!E39</f>
        <v>3.0218535000000001E-2</v>
      </c>
      <c r="AT23">
        <f>GHG!F39</f>
        <v>1.7633975999999999E-2</v>
      </c>
      <c r="AU23">
        <f>GHG!AB103</f>
        <v>1.0092909000000001E-2</v>
      </c>
      <c r="AV23">
        <f>GHG!AC103</f>
        <v>6.0557457000000002E-2</v>
      </c>
      <c r="AW23">
        <f>GHG!AD103</f>
        <v>6.05575E-2</v>
      </c>
      <c r="AX23">
        <f>GHG!AE103</f>
        <v>6.05575E-2</v>
      </c>
      <c r="AY23">
        <f>GHG!AF103</f>
        <v>6.0557457000000002E-2</v>
      </c>
      <c r="AZ23">
        <f>GHG!AG103</f>
        <v>6.05575E-2</v>
      </c>
      <c r="BA23">
        <f>GHG!AH103</f>
        <v>6.05575E-2</v>
      </c>
      <c r="BB23">
        <f>GHG!AI103</f>
        <v>6.0557457000000002E-2</v>
      </c>
      <c r="BC23">
        <f>GHG!AJ103</f>
        <v>6.0557457000000002E-2</v>
      </c>
      <c r="BD23">
        <f>GHG!B167</f>
        <v>2.730311E-3</v>
      </c>
      <c r="BE23">
        <f>GHG!C167</f>
        <v>2.4482940000000002E-3</v>
      </c>
      <c r="BF23">
        <f>GHG!D167</f>
        <v>2.566497E-3</v>
      </c>
      <c r="BG23">
        <f>GHG!E167</f>
        <v>2.4032300000000001E-3</v>
      </c>
      <c r="BH23">
        <f>GHG!F167</f>
        <v>1.4571619999999999E-3</v>
      </c>
      <c r="BI23">
        <f>GHG!AB167</f>
        <v>4.196104E-3</v>
      </c>
      <c r="BJ23">
        <f>GHG!AC167</f>
        <v>1.2588312000000001E-2</v>
      </c>
      <c r="BK23">
        <f>GHG!AD167</f>
        <v>1.25883E-2</v>
      </c>
      <c r="BL23">
        <f>GHG!AE167</f>
        <v>1.25883E-2</v>
      </c>
      <c r="BM23">
        <f>GHG!AF167</f>
        <v>1.2588312000000001E-2</v>
      </c>
      <c r="BN23">
        <f>GHG!AG167</f>
        <v>1.25883E-2</v>
      </c>
      <c r="BO23">
        <f>GHG!AH167</f>
        <v>1.25883E-2</v>
      </c>
      <c r="BP23">
        <f>GHG!AI167</f>
        <v>1.2588312000000001E-2</v>
      </c>
      <c r="BQ23">
        <f>GHG!AJ167</f>
        <v>1.2588312000000001E-2</v>
      </c>
    </row>
    <row r="24" spans="1:69" x14ac:dyDescent="0.25">
      <c r="A24">
        <v>16</v>
      </c>
      <c r="B24" s="1">
        <f>Originial!B35</f>
        <v>7.0000000000000007E-2</v>
      </c>
      <c r="C24" s="1">
        <f>Originial!C35</f>
        <v>0.05</v>
      </c>
      <c r="D24" s="1">
        <f>Originial!D35</f>
        <v>7.0000000000000007E-2</v>
      </c>
      <c r="E24" s="1">
        <f>Originial!E35</f>
        <v>0.05</v>
      </c>
      <c r="F24" s="1">
        <f>Originial!F35</f>
        <v>0.05</v>
      </c>
      <c r="G24" s="1">
        <f>Originial!H35</f>
        <v>85.73</v>
      </c>
      <c r="H24" s="1">
        <f>Originial!J35</f>
        <v>18.22</v>
      </c>
      <c r="I24" s="1">
        <f>Originial!N35</f>
        <v>4.9400000000000004</v>
      </c>
      <c r="J24" s="1">
        <f>Originial!O35</f>
        <v>28.96</v>
      </c>
      <c r="K24" s="1">
        <f>Originial!P35</f>
        <v>19.05</v>
      </c>
      <c r="L24" s="1">
        <f>Originial!Q35</f>
        <v>18.87</v>
      </c>
      <c r="M24" s="1">
        <f>Originial!R35</f>
        <v>30.69</v>
      </c>
      <c r="N24" s="1">
        <f>Originial!S35</f>
        <v>27.7</v>
      </c>
      <c r="O24" s="1">
        <f>Originial!T35</f>
        <v>30.27</v>
      </c>
      <c r="P24" s="1">
        <f>Originial!U35</f>
        <v>31.2</v>
      </c>
      <c r="Q24" s="1">
        <f>Originial!V35</f>
        <v>24.68</v>
      </c>
      <c r="R24" s="1">
        <f>Originial!AE35</f>
        <v>1.7000000000000001E-2</v>
      </c>
      <c r="S24" s="1">
        <f>Originial!AO35</f>
        <v>0.24</v>
      </c>
      <c r="T24" s="1">
        <f>Originial!AP35</f>
        <v>0.16</v>
      </c>
      <c r="U24" s="1">
        <f>Originial!AQ35</f>
        <v>0.09</v>
      </c>
      <c r="V24" s="1">
        <f>Originial!AT35</f>
        <v>11.76</v>
      </c>
      <c r="W24" s="1">
        <f>Originial!AU35</f>
        <v>12.66</v>
      </c>
      <c r="X24" s="1">
        <f>Originial!AV35</f>
        <v>9.6300000000000008</v>
      </c>
      <c r="Y24" s="1">
        <f>Originial!AY35</f>
        <v>28.96</v>
      </c>
      <c r="Z24" s="1">
        <f>Originial!AZ35</f>
        <v>19.05</v>
      </c>
      <c r="AA24" s="1">
        <f>Originial!BA35</f>
        <v>18.87</v>
      </c>
      <c r="AB24">
        <f>GHG!B40</f>
        <v>3.3309866E-2</v>
      </c>
      <c r="AC24">
        <f>GHG!C40</f>
        <v>3.1288580000000003E-2</v>
      </c>
      <c r="AD24">
        <f>GHG!D40</f>
        <v>3.2424317000000001E-2</v>
      </c>
      <c r="AE24">
        <f>GHG!E40</f>
        <v>3.0141569999999999E-2</v>
      </c>
      <c r="AF24">
        <f>GHG!F40</f>
        <v>1.6932717999999999E-2</v>
      </c>
      <c r="AG24">
        <f>GHG!AB40</f>
        <v>18.395387320000001</v>
      </c>
      <c r="AH24">
        <f>GHG!AC40</f>
        <v>25.641214590000001</v>
      </c>
      <c r="AI24">
        <f>GHG!AD40</f>
        <v>25.641214999999999</v>
      </c>
      <c r="AJ24">
        <f>GHG!AE40</f>
        <v>25.641214999999999</v>
      </c>
      <c r="AK24">
        <f>GHG!AF40</f>
        <v>21.796419159999999</v>
      </c>
      <c r="AL24">
        <f>GHG!AG40</f>
        <v>21.796419</v>
      </c>
      <c r="AM24">
        <f>GHG!AH40</f>
        <v>21.796419</v>
      </c>
      <c r="AN24">
        <f>GHG!AI40</f>
        <v>25.765629619999999</v>
      </c>
      <c r="AO24">
        <f>GHG!AJ40</f>
        <v>25.3210178</v>
      </c>
      <c r="AP24">
        <f>GHG!B40</f>
        <v>3.3309866E-2</v>
      </c>
      <c r="AQ24">
        <f>GHG!C40</f>
        <v>3.1288580000000003E-2</v>
      </c>
      <c r="AR24">
        <f>GHG!D40</f>
        <v>3.2424317000000001E-2</v>
      </c>
      <c r="AS24">
        <f>GHG!E40</f>
        <v>3.0141569999999999E-2</v>
      </c>
      <c r="AT24">
        <f>GHG!F40</f>
        <v>1.6932717999999999E-2</v>
      </c>
      <c r="AU24">
        <f>GHG!AB104</f>
        <v>1.0273291E-2</v>
      </c>
      <c r="AV24">
        <f>GHG!AC104</f>
        <v>6.1639744000000003E-2</v>
      </c>
      <c r="AW24">
        <f>GHG!AD104</f>
        <v>6.1639699999999999E-2</v>
      </c>
      <c r="AX24">
        <f>GHG!AE104</f>
        <v>6.1639699999999999E-2</v>
      </c>
      <c r="AY24">
        <f>GHG!AF104</f>
        <v>6.1639744000000003E-2</v>
      </c>
      <c r="AZ24">
        <f>GHG!AG104</f>
        <v>6.1639699999999999E-2</v>
      </c>
      <c r="BA24">
        <f>GHG!AH104</f>
        <v>6.1639699999999999E-2</v>
      </c>
      <c r="BB24">
        <f>GHG!AI104</f>
        <v>6.1639744000000003E-2</v>
      </c>
      <c r="BC24">
        <f>GHG!AJ104</f>
        <v>6.1639744000000003E-2</v>
      </c>
      <c r="BD24">
        <f>GHG!B168</f>
        <v>2.7120450000000002E-3</v>
      </c>
      <c r="BE24">
        <f>GHG!C168</f>
        <v>2.4166790000000001E-3</v>
      </c>
      <c r="BF24">
        <f>GHG!D168</f>
        <v>2.6069969999999998E-3</v>
      </c>
      <c r="BG24">
        <f>GHG!E168</f>
        <v>2.4304579999999999E-3</v>
      </c>
      <c r="BH24">
        <f>GHG!F168</f>
        <v>1.4182590000000001E-3</v>
      </c>
      <c r="BI24">
        <f>GHG!AB168</f>
        <v>4.3176380000000004E-3</v>
      </c>
      <c r="BJ24">
        <f>GHG!AC168</f>
        <v>1.2952913E-2</v>
      </c>
      <c r="BK24">
        <f>GHG!AD168</f>
        <v>1.29529E-2</v>
      </c>
      <c r="BL24">
        <f>GHG!AE168</f>
        <v>1.29529E-2</v>
      </c>
      <c r="BM24">
        <f>GHG!AF168</f>
        <v>1.2952913E-2</v>
      </c>
      <c r="BN24">
        <f>GHG!AG168</f>
        <v>1.29529E-2</v>
      </c>
      <c r="BO24">
        <f>GHG!AH168</f>
        <v>1.29529E-2</v>
      </c>
      <c r="BP24">
        <f>GHG!AI168</f>
        <v>1.2952913E-2</v>
      </c>
      <c r="BQ24">
        <f>GHG!AJ168</f>
        <v>1.2952913E-2</v>
      </c>
    </row>
    <row r="25" spans="1:69" x14ac:dyDescent="0.25">
      <c r="A25">
        <v>17</v>
      </c>
      <c r="B25" s="1">
        <f>Originial!B36</f>
        <v>7.0000000000000007E-2</v>
      </c>
      <c r="C25" s="1">
        <f>Originial!C36</f>
        <v>0.06</v>
      </c>
      <c r="D25" s="1">
        <f>Originial!D36</f>
        <v>0.08</v>
      </c>
      <c r="E25" s="1">
        <f>Originial!E36</f>
        <v>0.05</v>
      </c>
      <c r="F25" s="1">
        <f>Originial!F36</f>
        <v>0.05</v>
      </c>
      <c r="G25" s="1">
        <f>Originial!H36</f>
        <v>85.54</v>
      </c>
      <c r="H25" s="1">
        <f>Originial!J36</f>
        <v>18.21</v>
      </c>
      <c r="I25" s="1">
        <f>Originial!N36</f>
        <v>4.9400000000000004</v>
      </c>
      <c r="J25" s="1">
        <f>Originial!O36</f>
        <v>29.1</v>
      </c>
      <c r="K25" s="1">
        <f>Originial!P36</f>
        <v>19.16</v>
      </c>
      <c r="L25" s="1">
        <f>Originial!Q36</f>
        <v>18.98</v>
      </c>
      <c r="M25" s="1">
        <f>Originial!R36</f>
        <v>30.85</v>
      </c>
      <c r="N25" s="1">
        <f>Originial!S36</f>
        <v>27.85</v>
      </c>
      <c r="O25" s="1">
        <f>Originial!T36</f>
        <v>30.51</v>
      </c>
      <c r="P25" s="1">
        <f>Originial!U36</f>
        <v>31.31</v>
      </c>
      <c r="Q25" s="1">
        <f>Originial!V36</f>
        <v>24.43</v>
      </c>
      <c r="R25" s="1">
        <f>Originial!AE36</f>
        <v>1.7000000000000001E-2</v>
      </c>
      <c r="S25" s="1">
        <f>Originial!AO36</f>
        <v>0.25</v>
      </c>
      <c r="T25" s="1">
        <f>Originial!AP36</f>
        <v>0.17</v>
      </c>
      <c r="U25" s="1">
        <f>Originial!AQ36</f>
        <v>0.09</v>
      </c>
      <c r="V25" s="1">
        <f>Originial!AT36</f>
        <v>11.88</v>
      </c>
      <c r="W25" s="1">
        <f>Originial!AU36</f>
        <v>12.75</v>
      </c>
      <c r="X25" s="1">
        <f>Originial!AV36</f>
        <v>9.7100000000000009</v>
      </c>
      <c r="Y25" s="1">
        <f>Originial!AY36</f>
        <v>29.1</v>
      </c>
      <c r="Z25" s="1">
        <f>Originial!AZ36</f>
        <v>19.16</v>
      </c>
      <c r="AA25" s="1">
        <f>Originial!BA36</f>
        <v>18.98</v>
      </c>
      <c r="AB25">
        <f>GHG!B41</f>
        <v>3.2503398000000003E-2</v>
      </c>
      <c r="AC25">
        <f>GHG!C41</f>
        <v>3.0308993999999999E-2</v>
      </c>
      <c r="AD25">
        <f>GHG!D41</f>
        <v>3.2547236E-2</v>
      </c>
      <c r="AE25">
        <f>GHG!E41</f>
        <v>3.0048968999999998E-2</v>
      </c>
      <c r="AF25">
        <f>GHG!F41</f>
        <v>1.6202958999999999E-2</v>
      </c>
      <c r="AG25">
        <f>GHG!AB41</f>
        <v>18.66690595</v>
      </c>
      <c r="AH25">
        <f>GHG!AC41</f>
        <v>26.019682700000001</v>
      </c>
      <c r="AI25">
        <f>GHG!AD41</f>
        <v>26.019683000000001</v>
      </c>
      <c r="AJ25">
        <f>GHG!AE41</f>
        <v>26.019683000000001</v>
      </c>
      <c r="AK25">
        <f>GHG!AF41</f>
        <v>22.118137529999998</v>
      </c>
      <c r="AL25">
        <f>GHG!AG41</f>
        <v>22.118137999999998</v>
      </c>
      <c r="AM25">
        <f>GHG!AH41</f>
        <v>22.118137999999998</v>
      </c>
      <c r="AN25">
        <f>GHG!AI41</f>
        <v>26.14593412</v>
      </c>
      <c r="AO25">
        <f>GHG!AJ41</f>
        <v>25.69475976</v>
      </c>
      <c r="AP25">
        <f>GHG!B41</f>
        <v>3.2503398000000003E-2</v>
      </c>
      <c r="AQ25">
        <f>GHG!C41</f>
        <v>3.0308993999999999E-2</v>
      </c>
      <c r="AR25">
        <f>GHG!D41</f>
        <v>3.2547236E-2</v>
      </c>
      <c r="AS25">
        <f>GHG!E41</f>
        <v>3.0048968999999998E-2</v>
      </c>
      <c r="AT25">
        <f>GHG!F41</f>
        <v>1.6202958999999999E-2</v>
      </c>
      <c r="AU25">
        <f>GHG!AB105</f>
        <v>1.0453672000000001E-2</v>
      </c>
      <c r="AV25">
        <f>GHG!AC105</f>
        <v>6.2722031999999997E-2</v>
      </c>
      <c r="AW25">
        <f>GHG!AD105</f>
        <v>6.2722E-2</v>
      </c>
      <c r="AX25">
        <f>GHG!AE105</f>
        <v>6.2722E-2</v>
      </c>
      <c r="AY25">
        <f>GHG!AF105</f>
        <v>6.2722031999999997E-2</v>
      </c>
      <c r="AZ25">
        <f>GHG!AG105</f>
        <v>6.2722E-2</v>
      </c>
      <c r="BA25">
        <f>GHG!AH105</f>
        <v>6.2722E-2</v>
      </c>
      <c r="BB25">
        <f>GHG!AI105</f>
        <v>6.2722031999999997E-2</v>
      </c>
      <c r="BC25">
        <f>GHG!AJ105</f>
        <v>6.2722031999999997E-2</v>
      </c>
      <c r="BD25">
        <f>GHG!B169</f>
        <v>2.6890740000000001E-3</v>
      </c>
      <c r="BE25">
        <f>GHG!C169</f>
        <v>2.379978E-3</v>
      </c>
      <c r="BF25">
        <f>GHG!D169</f>
        <v>2.6463540000000001E-3</v>
      </c>
      <c r="BG25">
        <f>GHG!E169</f>
        <v>2.456008E-3</v>
      </c>
      <c r="BH25">
        <f>GHG!F169</f>
        <v>1.375186E-3</v>
      </c>
      <c r="BI25">
        <f>GHG!AB169</f>
        <v>4.4404500000000003E-3</v>
      </c>
      <c r="BJ25">
        <f>GHG!AC169</f>
        <v>1.3321351E-2</v>
      </c>
      <c r="BK25">
        <f>GHG!AD169</f>
        <v>1.3321400000000001E-2</v>
      </c>
      <c r="BL25">
        <f>GHG!AE169</f>
        <v>1.3321400000000001E-2</v>
      </c>
      <c r="BM25">
        <f>GHG!AF169</f>
        <v>1.3321351E-2</v>
      </c>
      <c r="BN25">
        <f>GHG!AG169</f>
        <v>1.3321400000000001E-2</v>
      </c>
      <c r="BO25">
        <f>GHG!AH169</f>
        <v>1.3321400000000001E-2</v>
      </c>
      <c r="BP25">
        <f>GHG!AI169</f>
        <v>1.3321351E-2</v>
      </c>
      <c r="BQ25">
        <f>GHG!AJ169</f>
        <v>1.3321351E-2</v>
      </c>
    </row>
    <row r="26" spans="1:69" x14ac:dyDescent="0.25">
      <c r="A26">
        <v>18</v>
      </c>
      <c r="B26" s="1">
        <f>Originial!B37</f>
        <v>0.08</v>
      </c>
      <c r="C26" s="1">
        <f>Originial!C37</f>
        <v>0.06</v>
      </c>
      <c r="D26" s="1">
        <f>Originial!D37</f>
        <v>0.08</v>
      </c>
      <c r="E26" s="1">
        <f>Originial!E37</f>
        <v>0.06</v>
      </c>
      <c r="F26" s="1">
        <f>Originial!F37</f>
        <v>0.05</v>
      </c>
      <c r="G26" s="1">
        <f>Originial!H37</f>
        <v>85.35</v>
      </c>
      <c r="H26" s="1">
        <f>Originial!J37</f>
        <v>18.2</v>
      </c>
      <c r="I26" s="1">
        <f>Originial!N37</f>
        <v>4.9400000000000004</v>
      </c>
      <c r="J26" s="1">
        <f>Originial!O37</f>
        <v>29.57</v>
      </c>
      <c r="K26" s="1">
        <f>Originial!P37</f>
        <v>19.46</v>
      </c>
      <c r="L26" s="1">
        <f>Originial!Q37</f>
        <v>19.27</v>
      </c>
      <c r="M26" s="1">
        <f>Originial!R37</f>
        <v>31.21</v>
      </c>
      <c r="N26" s="1">
        <f>Originial!S37</f>
        <v>28.31</v>
      </c>
      <c r="O26" s="1">
        <f>Originial!T37</f>
        <v>31.24</v>
      </c>
      <c r="P26" s="1">
        <f>Originial!U37</f>
        <v>31.71</v>
      </c>
      <c r="Q26" s="1">
        <f>Originial!V37</f>
        <v>24.46</v>
      </c>
      <c r="R26" s="1">
        <f>Originial!AE37</f>
        <v>1.7000000000000001E-2</v>
      </c>
      <c r="S26" s="1">
        <f>Originial!AO37</f>
        <v>0.25</v>
      </c>
      <c r="T26" s="1">
        <f>Originial!AP37</f>
        <v>0.17</v>
      </c>
      <c r="U26" s="1">
        <f>Originial!AQ37</f>
        <v>0.09</v>
      </c>
      <c r="V26" s="1">
        <f>Originial!AT37</f>
        <v>12.01</v>
      </c>
      <c r="W26" s="1">
        <f>Originial!AU37</f>
        <v>12.84</v>
      </c>
      <c r="X26" s="1">
        <f>Originial!AV37</f>
        <v>9.7799999999999994</v>
      </c>
      <c r="Y26" s="1">
        <f>Originial!AY37</f>
        <v>29.57</v>
      </c>
      <c r="Z26" s="1">
        <f>Originial!AZ37</f>
        <v>19.46</v>
      </c>
      <c r="AA26" s="1">
        <f>Originial!BA37</f>
        <v>19.27</v>
      </c>
      <c r="AB26">
        <f>GHG!B42</f>
        <v>3.1659166000000002E-2</v>
      </c>
      <c r="AC26">
        <f>GHG!C42</f>
        <v>2.9287476E-2</v>
      </c>
      <c r="AD26">
        <f>GHG!D42</f>
        <v>3.2659808999999998E-2</v>
      </c>
      <c r="AE26">
        <f>GHG!E42</f>
        <v>2.9940731000000002E-2</v>
      </c>
      <c r="AF26">
        <f>GHG!F42</f>
        <v>1.54447E-2</v>
      </c>
      <c r="AG26">
        <f>GHG!AB42</f>
        <v>18.93842458</v>
      </c>
      <c r="AH26">
        <f>GHG!AC42</f>
        <v>26.398150810000001</v>
      </c>
      <c r="AI26">
        <f>GHG!AD42</f>
        <v>26.398150999999999</v>
      </c>
      <c r="AJ26">
        <f>GHG!AE42</f>
        <v>26.398150999999999</v>
      </c>
      <c r="AK26">
        <f>GHG!AF42</f>
        <v>22.43985589</v>
      </c>
      <c r="AL26">
        <f>GHG!AG42</f>
        <v>22.439855999999999</v>
      </c>
      <c r="AM26">
        <f>GHG!AH42</f>
        <v>22.439855999999999</v>
      </c>
      <c r="AN26">
        <f>GHG!AI42</f>
        <v>26.52623861</v>
      </c>
      <c r="AO26">
        <f>GHG!AJ42</f>
        <v>26.06850172</v>
      </c>
      <c r="AP26">
        <f>GHG!B42</f>
        <v>3.1659166000000002E-2</v>
      </c>
      <c r="AQ26">
        <f>GHG!C42</f>
        <v>2.9287476E-2</v>
      </c>
      <c r="AR26">
        <f>GHG!D42</f>
        <v>3.2659808999999998E-2</v>
      </c>
      <c r="AS26">
        <f>GHG!E42</f>
        <v>2.9940731000000002E-2</v>
      </c>
      <c r="AT26">
        <f>GHG!F42</f>
        <v>1.54447E-2</v>
      </c>
      <c r="AU26">
        <f>GHG!AB106</f>
        <v>1.0645567E-2</v>
      </c>
      <c r="AV26">
        <f>GHG!AC106</f>
        <v>6.3873401999999996E-2</v>
      </c>
      <c r="AW26">
        <f>GHG!AD106</f>
        <v>6.3873399999999997E-2</v>
      </c>
      <c r="AX26">
        <f>GHG!AE106</f>
        <v>6.3873399999999997E-2</v>
      </c>
      <c r="AY26">
        <f>GHG!AF106</f>
        <v>6.3873401999999996E-2</v>
      </c>
      <c r="AZ26">
        <f>GHG!AG106</f>
        <v>6.3873399999999997E-2</v>
      </c>
      <c r="BA26">
        <f>GHG!AH106</f>
        <v>6.3873399999999997E-2</v>
      </c>
      <c r="BB26">
        <f>GHG!AI106</f>
        <v>6.3873401999999996E-2</v>
      </c>
      <c r="BC26">
        <f>GHG!AJ106</f>
        <v>6.3873401999999996E-2</v>
      </c>
      <c r="BD26">
        <f>GHG!B170</f>
        <v>2.6598199999999998E-3</v>
      </c>
      <c r="BE26">
        <f>GHG!C170</f>
        <v>2.3367890000000001E-3</v>
      </c>
      <c r="BF26">
        <f>GHG!D170</f>
        <v>2.6830349999999998E-3</v>
      </c>
      <c r="BG26">
        <f>GHG!E170</f>
        <v>2.4784519999999999E-3</v>
      </c>
      <c r="BH26">
        <f>GHG!F170</f>
        <v>1.327127E-3</v>
      </c>
      <c r="BI26">
        <f>GHG!AB170</f>
        <v>4.5619839999999998E-3</v>
      </c>
      <c r="BJ26">
        <f>GHG!AC170</f>
        <v>1.3685951E-2</v>
      </c>
      <c r="BK26">
        <f>GHG!AD170</f>
        <v>1.3686E-2</v>
      </c>
      <c r="BL26">
        <f>GHG!AE170</f>
        <v>1.3686E-2</v>
      </c>
      <c r="BM26">
        <f>GHG!AF170</f>
        <v>1.3685951E-2</v>
      </c>
      <c r="BN26">
        <f>GHG!AG170</f>
        <v>1.3686E-2</v>
      </c>
      <c r="BO26">
        <f>GHG!AH170</f>
        <v>1.3686E-2</v>
      </c>
      <c r="BP26">
        <f>GHG!AI170</f>
        <v>1.3685951E-2</v>
      </c>
      <c r="BQ26">
        <f>GHG!AJ170</f>
        <v>1.3685951E-2</v>
      </c>
    </row>
    <row r="27" spans="1:69" x14ac:dyDescent="0.25">
      <c r="A27">
        <v>19</v>
      </c>
      <c r="B27" s="1">
        <f>Originial!B38</f>
        <v>0.08</v>
      </c>
      <c r="C27" s="1">
        <f>Originial!C38</f>
        <v>0.06</v>
      </c>
      <c r="D27" s="1">
        <f>Originial!D38</f>
        <v>0.08</v>
      </c>
      <c r="E27" s="1">
        <f>Originial!E38</f>
        <v>0.06</v>
      </c>
      <c r="F27" s="1">
        <f>Originial!F38</f>
        <v>0.05</v>
      </c>
      <c r="G27" s="1">
        <f>Originial!H38</f>
        <v>85.18</v>
      </c>
      <c r="H27" s="1">
        <f>Originial!J38</f>
        <v>18.2</v>
      </c>
      <c r="I27" s="1">
        <f>Originial!N38</f>
        <v>4.9400000000000004</v>
      </c>
      <c r="J27" s="1">
        <f>Originial!O38</f>
        <v>29.83</v>
      </c>
      <c r="K27" s="1">
        <f>Originial!P38</f>
        <v>19.649999999999999</v>
      </c>
      <c r="L27" s="1">
        <f>Originial!Q38</f>
        <v>19.46</v>
      </c>
      <c r="M27" s="1">
        <f>Originial!R38</f>
        <v>31.5</v>
      </c>
      <c r="N27" s="1">
        <f>Originial!S38</f>
        <v>28.54</v>
      </c>
      <c r="O27" s="1">
        <f>Originial!T38</f>
        <v>31.62</v>
      </c>
      <c r="P27" s="1">
        <f>Originial!U38</f>
        <v>31.97</v>
      </c>
      <c r="Q27" s="1">
        <f>Originial!V38</f>
        <v>23.38</v>
      </c>
      <c r="R27" s="1">
        <f>Originial!AE38</f>
        <v>1.7000000000000001E-2</v>
      </c>
      <c r="S27" s="1">
        <f>Originial!AO38</f>
        <v>0.25</v>
      </c>
      <c r="T27" s="1">
        <f>Originial!AP38</f>
        <v>0.17</v>
      </c>
      <c r="U27" s="1">
        <f>Originial!AQ38</f>
        <v>0.09</v>
      </c>
      <c r="V27" s="1">
        <f>Originial!AT38</f>
        <v>12.09</v>
      </c>
      <c r="W27" s="1">
        <f>Originial!AU38</f>
        <v>12.88</v>
      </c>
      <c r="X27" s="1">
        <f>Originial!AV38</f>
        <v>9.8000000000000007</v>
      </c>
      <c r="Y27" s="1">
        <f>Originial!AY38</f>
        <v>29.83</v>
      </c>
      <c r="Z27" s="1">
        <f>Originial!AZ38</f>
        <v>19.649999999999999</v>
      </c>
      <c r="AA27" s="1">
        <f>Originial!BA38</f>
        <v>19.46</v>
      </c>
      <c r="AB27">
        <f>GHG!B43</f>
        <v>3.077717E-2</v>
      </c>
      <c r="AC27">
        <f>GHG!C43</f>
        <v>2.8224025999999999E-2</v>
      </c>
      <c r="AD27">
        <f>GHG!D43</f>
        <v>3.2762034000000002E-2</v>
      </c>
      <c r="AE27">
        <f>GHG!E43</f>
        <v>2.9816858000000002E-2</v>
      </c>
      <c r="AF27">
        <f>GHG!F43</f>
        <v>1.4657942E-2</v>
      </c>
      <c r="AG27">
        <f>GHG!AB43</f>
        <v>19.209943209999999</v>
      </c>
      <c r="AH27">
        <f>GHG!AC43</f>
        <v>26.776618920000001</v>
      </c>
      <c r="AI27">
        <f>GHG!AD43</f>
        <v>26.776619</v>
      </c>
      <c r="AJ27">
        <f>GHG!AE43</f>
        <v>26.776619</v>
      </c>
      <c r="AK27">
        <f>GHG!AF43</f>
        <v>22.761574249999999</v>
      </c>
      <c r="AL27">
        <f>GHG!AG43</f>
        <v>22.761574</v>
      </c>
      <c r="AM27">
        <f>GHG!AH43</f>
        <v>22.761574</v>
      </c>
      <c r="AN27">
        <f>GHG!AI43</f>
        <v>26.906543110000001</v>
      </c>
      <c r="AO27">
        <f>GHG!AJ43</f>
        <v>26.442243680000001</v>
      </c>
      <c r="AP27">
        <f>GHG!B43</f>
        <v>3.077717E-2</v>
      </c>
      <c r="AQ27">
        <f>GHG!C43</f>
        <v>2.8224025999999999E-2</v>
      </c>
      <c r="AR27">
        <f>GHG!D43</f>
        <v>3.2762034000000002E-2</v>
      </c>
      <c r="AS27">
        <f>GHG!E43</f>
        <v>2.9816858000000002E-2</v>
      </c>
      <c r="AT27">
        <f>GHG!F43</f>
        <v>1.4657942E-2</v>
      </c>
      <c r="AU27">
        <f>GHG!AB107</f>
        <v>1.0814562999999999E-2</v>
      </c>
      <c r="AV27">
        <f>GHG!AC107</f>
        <v>6.4887374999999997E-2</v>
      </c>
      <c r="AW27">
        <f>GHG!AD107</f>
        <v>6.4887399999999998E-2</v>
      </c>
      <c r="AX27">
        <f>GHG!AE107</f>
        <v>6.4887399999999998E-2</v>
      </c>
      <c r="AY27">
        <f>GHG!AF107</f>
        <v>6.4887374999999997E-2</v>
      </c>
      <c r="AZ27">
        <f>GHG!AG107</f>
        <v>6.4887399999999998E-2</v>
      </c>
      <c r="BA27">
        <f>GHG!AH107</f>
        <v>6.4887399999999998E-2</v>
      </c>
      <c r="BB27">
        <f>GHG!AI107</f>
        <v>6.4887374999999997E-2</v>
      </c>
      <c r="BC27">
        <f>GHG!AJ107</f>
        <v>6.4887374999999997E-2</v>
      </c>
      <c r="BD27">
        <f>GHG!B171</f>
        <v>2.6250850000000001E-3</v>
      </c>
      <c r="BE27">
        <f>GHG!C171</f>
        <v>2.2878289999999999E-3</v>
      </c>
      <c r="BF27">
        <f>GHG!D171</f>
        <v>2.7178110000000001E-3</v>
      </c>
      <c r="BG27">
        <f>GHG!E171</f>
        <v>2.4985099999999998E-3</v>
      </c>
      <c r="BH27">
        <f>GHG!F171</f>
        <v>1.274503E-3</v>
      </c>
      <c r="BI27">
        <f>GHG!AB171</f>
        <v>4.6835169999999999E-3</v>
      </c>
      <c r="BJ27">
        <f>GHG!AC171</f>
        <v>1.4050551999999999E-2</v>
      </c>
      <c r="BK27">
        <f>GHG!AD171</f>
        <v>1.40506E-2</v>
      </c>
      <c r="BL27">
        <f>GHG!AE171</f>
        <v>1.40506E-2</v>
      </c>
      <c r="BM27">
        <f>GHG!AF171</f>
        <v>1.4050551999999999E-2</v>
      </c>
      <c r="BN27">
        <f>GHG!AG171</f>
        <v>1.40506E-2</v>
      </c>
      <c r="BO27">
        <f>GHG!AH171</f>
        <v>1.40506E-2</v>
      </c>
      <c r="BP27">
        <f>GHG!AI171</f>
        <v>1.4050551999999999E-2</v>
      </c>
      <c r="BQ27">
        <f>GHG!AJ171</f>
        <v>1.4050551999999999E-2</v>
      </c>
    </row>
    <row r="28" spans="1:69" x14ac:dyDescent="0.25">
      <c r="A28">
        <v>20</v>
      </c>
      <c r="B28" s="1">
        <f>Originial!B39</f>
        <v>0.08</v>
      </c>
      <c r="C28" s="1">
        <f>Originial!C39</f>
        <v>0.06</v>
      </c>
      <c r="D28" s="1">
        <f>Originial!D39</f>
        <v>0.08</v>
      </c>
      <c r="E28" s="1">
        <f>Originial!E39</f>
        <v>0.06</v>
      </c>
      <c r="F28" s="1">
        <f>Originial!F39</f>
        <v>0.05</v>
      </c>
      <c r="G28" s="1">
        <f>Originial!H39</f>
        <v>85.03</v>
      </c>
      <c r="H28" s="1">
        <f>Originial!J39</f>
        <v>18.2</v>
      </c>
      <c r="I28" s="1">
        <f>Originial!N39</f>
        <v>4.93</v>
      </c>
      <c r="J28" s="1">
        <f>Originial!O39</f>
        <v>29.94</v>
      </c>
      <c r="K28" s="1">
        <f>Originial!P39</f>
        <v>19.71</v>
      </c>
      <c r="L28" s="1">
        <f>Originial!Q39</f>
        <v>19.52</v>
      </c>
      <c r="M28" s="1">
        <f>Originial!R39</f>
        <v>31.77</v>
      </c>
      <c r="N28" s="1">
        <f>Originial!S39</f>
        <v>28.76</v>
      </c>
      <c r="O28" s="1">
        <f>Originial!T39</f>
        <v>31.97</v>
      </c>
      <c r="P28" s="1">
        <f>Originial!U39</f>
        <v>32.07</v>
      </c>
      <c r="Q28" s="1">
        <f>Originial!V39</f>
        <v>23.44</v>
      </c>
      <c r="R28" s="1">
        <f>Originial!AE39</f>
        <v>1.7000000000000001E-2</v>
      </c>
      <c r="S28" s="1">
        <f>Originial!AO39</f>
        <v>0.25</v>
      </c>
      <c r="T28" s="1">
        <f>Originial!AP39</f>
        <v>0.17</v>
      </c>
      <c r="U28" s="1">
        <f>Originial!AQ39</f>
        <v>0.09</v>
      </c>
      <c r="V28" s="1">
        <f>Originial!AT39</f>
        <v>12.2</v>
      </c>
      <c r="W28" s="1">
        <f>Originial!AU39</f>
        <v>12.96</v>
      </c>
      <c r="X28" s="1">
        <f>Originial!AV39</f>
        <v>9.86</v>
      </c>
      <c r="Y28" s="1">
        <f>Originial!AY39</f>
        <v>29.94</v>
      </c>
      <c r="Z28" s="1">
        <f>Originial!AZ39</f>
        <v>19.71</v>
      </c>
      <c r="AA28" s="1">
        <f>Originial!BA39</f>
        <v>19.52</v>
      </c>
      <c r="AB28">
        <f>GHG!B44</f>
        <v>2.9857411E-2</v>
      </c>
      <c r="AC28">
        <f>GHG!C44</f>
        <v>2.7118644000000001E-2</v>
      </c>
      <c r="AD28">
        <f>GHG!D44</f>
        <v>3.2853913999999998E-2</v>
      </c>
      <c r="AE28">
        <f>GHG!E44</f>
        <v>2.9677347999999999E-2</v>
      </c>
      <c r="AF28">
        <f>GHG!F44</f>
        <v>1.3842683E-2</v>
      </c>
      <c r="AG28">
        <f>GHG!AB44</f>
        <v>19.481461849999999</v>
      </c>
      <c r="AH28">
        <f>GHG!AC44</f>
        <v>27.155087040000002</v>
      </c>
      <c r="AI28">
        <f>GHG!AD44</f>
        <v>27.155087000000002</v>
      </c>
      <c r="AJ28">
        <f>GHG!AE44</f>
        <v>27.155087000000002</v>
      </c>
      <c r="AK28">
        <f>GHG!AF44</f>
        <v>23.083292620000002</v>
      </c>
      <c r="AL28">
        <f>GHG!AG44</f>
        <v>23.083293000000001</v>
      </c>
      <c r="AM28">
        <f>GHG!AH44</f>
        <v>23.083293000000001</v>
      </c>
      <c r="AN28">
        <f>GHG!AI44</f>
        <v>27.286847609999999</v>
      </c>
      <c r="AO28">
        <f>GHG!AJ44</f>
        <v>26.815985640000001</v>
      </c>
      <c r="AP28">
        <f>GHG!B44</f>
        <v>2.9857411E-2</v>
      </c>
      <c r="AQ28">
        <f>GHG!C44</f>
        <v>2.7118644000000001E-2</v>
      </c>
      <c r="AR28">
        <f>GHG!D44</f>
        <v>3.2853913999999998E-2</v>
      </c>
      <c r="AS28">
        <f>GHG!E44</f>
        <v>2.9677347999999999E-2</v>
      </c>
      <c r="AT28">
        <f>GHG!F44</f>
        <v>1.3842683E-2</v>
      </c>
      <c r="AU28">
        <f>GHG!AB108</f>
        <v>1.0994944E-2</v>
      </c>
      <c r="AV28">
        <f>GHG!AC108</f>
        <v>6.5969662999999998E-2</v>
      </c>
      <c r="AW28">
        <f>GHG!AD108</f>
        <v>6.5969700000000006E-2</v>
      </c>
      <c r="AX28">
        <f>GHG!AE108</f>
        <v>6.5969700000000006E-2</v>
      </c>
      <c r="AY28">
        <f>GHG!AF108</f>
        <v>6.5969662999999998E-2</v>
      </c>
      <c r="AZ28">
        <f>GHG!AG108</f>
        <v>6.5969700000000006E-2</v>
      </c>
      <c r="BA28">
        <f>GHG!AH108</f>
        <v>6.5969700000000006E-2</v>
      </c>
      <c r="BB28">
        <f>GHG!AI108</f>
        <v>6.5969662999999998E-2</v>
      </c>
      <c r="BC28">
        <f>GHG!AJ108</f>
        <v>6.5969662999999998E-2</v>
      </c>
      <c r="BD28">
        <f>GHG!B172</f>
        <v>2.58487E-3</v>
      </c>
      <c r="BE28">
        <f>GHG!C172</f>
        <v>2.233096E-3</v>
      </c>
      <c r="BF28">
        <f>GHG!D172</f>
        <v>2.750682E-3</v>
      </c>
      <c r="BG28">
        <f>GHG!E172</f>
        <v>2.516183E-3</v>
      </c>
      <c r="BH28">
        <f>GHG!F172</f>
        <v>1.2173119999999999E-3</v>
      </c>
      <c r="BI28">
        <f>GHG!AB172</f>
        <v>4.8050510000000003E-3</v>
      </c>
      <c r="BJ28">
        <f>GHG!AC172</f>
        <v>1.4415152000000001E-2</v>
      </c>
      <c r="BK28">
        <f>GHG!AD172</f>
        <v>1.44152E-2</v>
      </c>
      <c r="BL28">
        <f>GHG!AE172</f>
        <v>1.44152E-2</v>
      </c>
      <c r="BM28">
        <f>GHG!AF172</f>
        <v>1.4415152000000001E-2</v>
      </c>
      <c r="BN28">
        <f>GHG!AG172</f>
        <v>1.44152E-2</v>
      </c>
      <c r="BO28">
        <f>GHG!AH172</f>
        <v>1.44152E-2</v>
      </c>
      <c r="BP28">
        <f>GHG!AI172</f>
        <v>1.4415152000000001E-2</v>
      </c>
      <c r="BQ28">
        <f>GHG!AJ172</f>
        <v>1.4415152000000001E-2</v>
      </c>
    </row>
    <row r="29" spans="1:69" x14ac:dyDescent="0.25">
      <c r="A29">
        <v>21</v>
      </c>
      <c r="B29" s="1">
        <f>Originial!B40</f>
        <v>0.08</v>
      </c>
      <c r="C29" s="1">
        <f>Originial!C40</f>
        <v>0.06</v>
      </c>
      <c r="D29" s="1">
        <f>Originial!D40</f>
        <v>0.08</v>
      </c>
      <c r="E29" s="1">
        <f>Originial!E40</f>
        <v>0.06</v>
      </c>
      <c r="F29" s="1">
        <f>Originial!F40</f>
        <v>0.05</v>
      </c>
      <c r="G29" s="1">
        <f>Originial!H40</f>
        <v>84.91</v>
      </c>
      <c r="H29" s="1">
        <f>Originial!J40</f>
        <v>18.190000000000001</v>
      </c>
      <c r="I29" s="1">
        <f>Originial!N40</f>
        <v>4.93</v>
      </c>
      <c r="J29" s="1">
        <f>Originial!O40</f>
        <v>30.3</v>
      </c>
      <c r="K29" s="1">
        <f>Originial!P40</f>
        <v>19.95</v>
      </c>
      <c r="L29" s="1">
        <f>Originial!Q40</f>
        <v>19.760000000000002</v>
      </c>
      <c r="M29" s="1">
        <f>Originial!R40</f>
        <v>32.06</v>
      </c>
      <c r="N29" s="1">
        <f>Originial!S40</f>
        <v>29.01</v>
      </c>
      <c r="O29" s="1">
        <f>Originial!T40</f>
        <v>32.39</v>
      </c>
      <c r="P29" s="1">
        <f>Originial!U40</f>
        <v>32.340000000000003</v>
      </c>
      <c r="Q29" s="1">
        <f>Originial!V40</f>
        <v>23.01</v>
      </c>
      <c r="R29" s="1">
        <f>Originial!AE40</f>
        <v>1.7000000000000001E-2</v>
      </c>
      <c r="S29" s="1">
        <f>Originial!AO40</f>
        <v>0.25</v>
      </c>
      <c r="T29" s="1">
        <f>Originial!AP40</f>
        <v>0.17</v>
      </c>
      <c r="U29" s="1">
        <f>Originial!AQ40</f>
        <v>0.09</v>
      </c>
      <c r="V29" s="1">
        <f>Originial!AT40</f>
        <v>12.33</v>
      </c>
      <c r="W29" s="1">
        <f>Originial!AU40</f>
        <v>13.07</v>
      </c>
      <c r="X29" s="1">
        <f>Originial!AV40</f>
        <v>9.9600000000000009</v>
      </c>
      <c r="Y29" s="1">
        <f>Originial!AY40</f>
        <v>30.3</v>
      </c>
      <c r="Z29" s="1">
        <f>Originial!AZ40</f>
        <v>19.95</v>
      </c>
      <c r="AA29" s="1">
        <f>Originial!BA40</f>
        <v>19.760000000000002</v>
      </c>
      <c r="AB29">
        <f>GHG!B45</f>
        <v>2.9304678000000001E-2</v>
      </c>
      <c r="AC29">
        <f>GHG!C45</f>
        <v>2.6854861000000001E-2</v>
      </c>
      <c r="AD29">
        <f>GHG!D45</f>
        <v>3.2989961999999998E-2</v>
      </c>
      <c r="AE29">
        <f>GHG!E45</f>
        <v>2.9735147999999999E-2</v>
      </c>
      <c r="AF29">
        <f>GHG!F45</f>
        <v>1.3906119E-2</v>
      </c>
      <c r="AG29">
        <f>GHG!AB45</f>
        <v>19.752980480000002</v>
      </c>
      <c r="AH29">
        <f>GHG!AC45</f>
        <v>27.533555150000002</v>
      </c>
      <c r="AI29">
        <f>GHG!AD45</f>
        <v>27.533555</v>
      </c>
      <c r="AJ29">
        <f>GHG!AE45</f>
        <v>27.533555</v>
      </c>
      <c r="AK29">
        <f>GHG!AF45</f>
        <v>23.40501098</v>
      </c>
      <c r="AL29">
        <f>GHG!AG45</f>
        <v>23.405010999999998</v>
      </c>
      <c r="AM29">
        <f>GHG!AH45</f>
        <v>23.405010999999998</v>
      </c>
      <c r="AN29">
        <f>GHG!AI45</f>
        <v>27.667152099999999</v>
      </c>
      <c r="AO29">
        <f>GHG!AJ45</f>
        <v>27.189727600000001</v>
      </c>
      <c r="AP29">
        <f>GHG!B45</f>
        <v>2.9304678000000001E-2</v>
      </c>
      <c r="AQ29">
        <f>GHG!C45</f>
        <v>2.6854861000000001E-2</v>
      </c>
      <c r="AR29">
        <f>GHG!D45</f>
        <v>3.2989961999999998E-2</v>
      </c>
      <c r="AS29">
        <f>GHG!E45</f>
        <v>2.9735147999999999E-2</v>
      </c>
      <c r="AT29">
        <f>GHG!F45</f>
        <v>1.3906119E-2</v>
      </c>
      <c r="AU29">
        <f>GHG!AB109</f>
        <v>1.1175325E-2</v>
      </c>
      <c r="AV29">
        <f>GHG!AC109</f>
        <v>6.7051950999999999E-2</v>
      </c>
      <c r="AW29">
        <f>GHG!AD109</f>
        <v>6.7052E-2</v>
      </c>
      <c r="AX29">
        <f>GHG!AE109</f>
        <v>6.7052E-2</v>
      </c>
      <c r="AY29">
        <f>GHG!AF109</f>
        <v>6.7051950999999999E-2</v>
      </c>
      <c r="AZ29">
        <f>GHG!AG109</f>
        <v>6.7052E-2</v>
      </c>
      <c r="BA29">
        <f>GHG!AH109</f>
        <v>6.7052E-2</v>
      </c>
      <c r="BB29">
        <f>GHG!AI109</f>
        <v>6.7051950999999999E-2</v>
      </c>
      <c r="BC29">
        <f>GHG!AJ109</f>
        <v>6.7051950999999999E-2</v>
      </c>
      <c r="BD29">
        <f>GHG!B173</f>
        <v>2.5716929999999999E-3</v>
      </c>
      <c r="BE29">
        <f>GHG!C173</f>
        <v>2.2411079999999999E-3</v>
      </c>
      <c r="BF29">
        <f>GHG!D173</f>
        <v>2.8105169999999998E-3</v>
      </c>
      <c r="BG29">
        <f>GHG!E173</f>
        <v>2.5586879999999999E-3</v>
      </c>
      <c r="BH29">
        <f>GHG!F173</f>
        <v>1.237791E-3</v>
      </c>
      <c r="BI29">
        <f>GHG!AB173</f>
        <v>4.9265840000000003E-3</v>
      </c>
      <c r="BJ29">
        <f>GHG!AC173</f>
        <v>1.4779753E-2</v>
      </c>
      <c r="BK29">
        <f>GHG!AD173</f>
        <v>1.4779799999999999E-2</v>
      </c>
      <c r="BL29">
        <f>GHG!AE173</f>
        <v>1.4779799999999999E-2</v>
      </c>
      <c r="BM29">
        <f>GHG!AF173</f>
        <v>1.4779753E-2</v>
      </c>
      <c r="BN29">
        <f>GHG!AG173</f>
        <v>1.4779799999999999E-2</v>
      </c>
      <c r="BO29">
        <f>GHG!AH173</f>
        <v>1.4779799999999999E-2</v>
      </c>
      <c r="BP29">
        <f>GHG!AI173</f>
        <v>1.4779753E-2</v>
      </c>
      <c r="BQ29">
        <f>GHG!AJ173</f>
        <v>1.4779753E-2</v>
      </c>
    </row>
    <row r="30" spans="1:69" x14ac:dyDescent="0.25">
      <c r="A30">
        <v>22</v>
      </c>
      <c r="B30" s="1">
        <f>Originial!B41</f>
        <v>0.08</v>
      </c>
      <c r="C30" s="1">
        <f>Originial!C41</f>
        <v>0.06</v>
      </c>
      <c r="D30" s="1">
        <f>Originial!D41</f>
        <v>0.08</v>
      </c>
      <c r="E30" s="1">
        <f>Originial!E41</f>
        <v>0.06</v>
      </c>
      <c r="F30" s="1">
        <f>Originial!F41</f>
        <v>0.05</v>
      </c>
      <c r="G30" s="1">
        <f>Originial!H41</f>
        <v>84.79</v>
      </c>
      <c r="H30" s="1">
        <f>Originial!J41</f>
        <v>18.18</v>
      </c>
      <c r="I30" s="1">
        <f>Originial!N41</f>
        <v>4.92</v>
      </c>
      <c r="J30" s="1">
        <f>Originial!O41</f>
        <v>31.07</v>
      </c>
      <c r="K30" s="1">
        <f>Originial!P41</f>
        <v>20.440000000000001</v>
      </c>
      <c r="L30" s="1">
        <f>Originial!Q41</f>
        <v>20.239999999999998</v>
      </c>
      <c r="M30" s="1">
        <f>Originial!R41</f>
        <v>32.520000000000003</v>
      </c>
      <c r="N30" s="1">
        <f>Originial!S41</f>
        <v>29.55</v>
      </c>
      <c r="O30" s="1">
        <f>Originial!T41</f>
        <v>33.26</v>
      </c>
      <c r="P30" s="1">
        <f>Originial!U41</f>
        <v>33.04</v>
      </c>
      <c r="Q30" s="1">
        <f>Originial!V41</f>
        <v>23.39</v>
      </c>
      <c r="R30" s="1">
        <f>Originial!AE41</f>
        <v>1.7000000000000001E-2</v>
      </c>
      <c r="S30" s="1">
        <f>Originial!AO41</f>
        <v>0.26</v>
      </c>
      <c r="T30" s="1">
        <f>Originial!AP41</f>
        <v>0.17</v>
      </c>
      <c r="U30" s="1">
        <f>Originial!AQ41</f>
        <v>0.1</v>
      </c>
      <c r="V30" s="1">
        <f>Originial!AT41</f>
        <v>12.38</v>
      </c>
      <c r="W30" s="1">
        <f>Originial!AU41</f>
        <v>13.07</v>
      </c>
      <c r="X30" s="1">
        <f>Originial!AV41</f>
        <v>9.91</v>
      </c>
      <c r="Y30" s="1">
        <f>Originial!AY41</f>
        <v>31.07</v>
      </c>
      <c r="Z30" s="1">
        <f>Originial!AZ41</f>
        <v>20.440000000000001</v>
      </c>
      <c r="AA30" s="1">
        <f>Originial!BA41</f>
        <v>20.239999999999998</v>
      </c>
      <c r="AB30">
        <f>GHG!B46</f>
        <v>2.8822683000000002E-2</v>
      </c>
      <c r="AC30">
        <f>GHG!C46</f>
        <v>2.6663514999999999E-2</v>
      </c>
      <c r="AD30">
        <f>GHG!D46</f>
        <v>3.3229423000000001E-2</v>
      </c>
      <c r="AE30">
        <f>GHG!E46</f>
        <v>2.9884126E-2</v>
      </c>
      <c r="AF30">
        <f>GHG!F46</f>
        <v>1.4013337000000001E-2</v>
      </c>
      <c r="AG30">
        <f>GHG!AB46</f>
        <v>20.09237877</v>
      </c>
      <c r="AH30">
        <f>GHG!AC46</f>
        <v>28.00664029</v>
      </c>
      <c r="AI30">
        <f>GHG!AD46</f>
        <v>28.006640000000001</v>
      </c>
      <c r="AJ30">
        <f>GHG!AE46</f>
        <v>28.006640000000001</v>
      </c>
      <c r="AK30">
        <f>GHG!AF46</f>
        <v>23.807158940000001</v>
      </c>
      <c r="AL30">
        <f>GHG!AG46</f>
        <v>23.807158999999999</v>
      </c>
      <c r="AM30">
        <f>GHG!AH46</f>
        <v>23.807158999999999</v>
      </c>
      <c r="AN30">
        <f>GHG!AI46</f>
        <v>28.142532719999998</v>
      </c>
      <c r="AO30">
        <f>GHG!AJ46</f>
        <v>27.656905049999999</v>
      </c>
      <c r="AP30">
        <f>GHG!B46</f>
        <v>2.8822683000000002E-2</v>
      </c>
      <c r="AQ30">
        <f>GHG!C46</f>
        <v>2.6663514999999999E-2</v>
      </c>
      <c r="AR30">
        <f>GHG!D46</f>
        <v>3.3229423000000001E-2</v>
      </c>
      <c r="AS30">
        <f>GHG!E46</f>
        <v>2.9884126E-2</v>
      </c>
      <c r="AT30">
        <f>GHG!F46</f>
        <v>1.4013337000000001E-2</v>
      </c>
      <c r="AU30">
        <f>GHG!AB110</f>
        <v>1.1355706E-2</v>
      </c>
      <c r="AV30">
        <f>GHG!AC110</f>
        <v>6.8134238999999999E-2</v>
      </c>
      <c r="AW30">
        <f>GHG!AD110</f>
        <v>6.8134200000000006E-2</v>
      </c>
      <c r="AX30">
        <f>GHG!AE110</f>
        <v>6.8134200000000006E-2</v>
      </c>
      <c r="AY30">
        <f>GHG!AF110</f>
        <v>6.8134238999999999E-2</v>
      </c>
      <c r="AZ30">
        <f>GHG!AG110</f>
        <v>6.8134200000000006E-2</v>
      </c>
      <c r="BA30">
        <f>GHG!AH110</f>
        <v>6.8134200000000006E-2</v>
      </c>
      <c r="BB30">
        <f>GHG!AI110</f>
        <v>6.8134238999999999E-2</v>
      </c>
      <c r="BC30">
        <f>GHG!AJ110</f>
        <v>6.8134238999999999E-2</v>
      </c>
      <c r="BD30">
        <f>GHG!B174</f>
        <v>2.5546409999999999E-3</v>
      </c>
      <c r="BE30">
        <f>GHG!C174</f>
        <v>2.2467279999999999E-3</v>
      </c>
      <c r="BF30">
        <f>GHG!D174</f>
        <v>2.8698730000000002E-3</v>
      </c>
      <c r="BG30">
        <f>GHG!E174</f>
        <v>2.6001499999999999E-3</v>
      </c>
      <c r="BH30">
        <f>GHG!F174</f>
        <v>1.2577619999999999E-3</v>
      </c>
      <c r="BI30">
        <f>GHG!AB174</f>
        <v>5.0481179999999999E-3</v>
      </c>
      <c r="BJ30">
        <f>GHG!AC174</f>
        <v>1.5144352999999999E-2</v>
      </c>
      <c r="BK30">
        <f>GHG!AD174</f>
        <v>1.5144400000000001E-2</v>
      </c>
      <c r="BL30">
        <f>GHG!AE174</f>
        <v>1.5144400000000001E-2</v>
      </c>
      <c r="BM30">
        <f>GHG!AF174</f>
        <v>1.5144352999999999E-2</v>
      </c>
      <c r="BN30">
        <f>GHG!AG174</f>
        <v>1.5144400000000001E-2</v>
      </c>
      <c r="BO30">
        <f>GHG!AH174</f>
        <v>1.5144400000000001E-2</v>
      </c>
      <c r="BP30">
        <f>GHG!AI174</f>
        <v>1.5144352999999999E-2</v>
      </c>
      <c r="BQ30">
        <f>GHG!AJ174</f>
        <v>1.5144352999999999E-2</v>
      </c>
    </row>
    <row r="31" spans="1:69" x14ac:dyDescent="0.25">
      <c r="A31">
        <v>23</v>
      </c>
      <c r="B31" s="1">
        <f>Originial!B42</f>
        <v>0.08</v>
      </c>
      <c r="C31" s="1">
        <f>Originial!C42</f>
        <v>0.06</v>
      </c>
      <c r="D31" s="1">
        <f>Originial!D42</f>
        <v>0.08</v>
      </c>
      <c r="E31" s="1">
        <f>Originial!E42</f>
        <v>0.06</v>
      </c>
      <c r="F31" s="1">
        <f>Originial!F42</f>
        <v>0.05</v>
      </c>
      <c r="G31" s="1">
        <f>Originial!H42</f>
        <v>84.68</v>
      </c>
      <c r="H31" s="1">
        <f>Originial!J42</f>
        <v>18.170000000000002</v>
      </c>
      <c r="I31" s="1">
        <f>Originial!N42</f>
        <v>4.92</v>
      </c>
      <c r="J31" s="1">
        <f>Originial!O42</f>
        <v>31.08</v>
      </c>
      <c r="K31" s="1">
        <f>Originial!P42</f>
        <v>20.440000000000001</v>
      </c>
      <c r="L31" s="1">
        <f>Originial!Q42</f>
        <v>20.25</v>
      </c>
      <c r="M31" s="1">
        <f>Originial!R42</f>
        <v>32.840000000000003</v>
      </c>
      <c r="N31" s="1">
        <f>Originial!S42</f>
        <v>29.74</v>
      </c>
      <c r="O31" s="1">
        <f>Originial!T42</f>
        <v>33.58</v>
      </c>
      <c r="P31" s="1">
        <f>Originial!U42</f>
        <v>33.1</v>
      </c>
      <c r="Q31" s="1">
        <f>Originial!V42</f>
        <v>23.51</v>
      </c>
      <c r="R31" s="1">
        <f>Originial!AE42</f>
        <v>1.7000000000000001E-2</v>
      </c>
      <c r="S31" s="1">
        <f>Originial!AO42</f>
        <v>0.26</v>
      </c>
      <c r="T31" s="1">
        <f>Originial!AP42</f>
        <v>0.17</v>
      </c>
      <c r="U31" s="1">
        <f>Originial!AQ42</f>
        <v>0.1</v>
      </c>
      <c r="V31" s="1">
        <f>Originial!AT42</f>
        <v>12.37</v>
      </c>
      <c r="W31" s="1">
        <f>Originial!AU42</f>
        <v>13.01</v>
      </c>
      <c r="X31" s="1">
        <f>Originial!AV42</f>
        <v>9.82</v>
      </c>
      <c r="Y31" s="1">
        <f>Originial!AY42</f>
        <v>31.08</v>
      </c>
      <c r="Z31" s="1">
        <f>Originial!AZ42</f>
        <v>20.440000000000001</v>
      </c>
      <c r="AA31" s="1">
        <f>Originial!BA42</f>
        <v>20.25</v>
      </c>
      <c r="AB31">
        <f>GHG!B47</f>
        <v>2.8213350000000002E-2</v>
      </c>
      <c r="AC31">
        <f>GHG!C47</f>
        <v>2.6362242000000001E-2</v>
      </c>
      <c r="AD31">
        <f>GHG!D47</f>
        <v>3.3346669000000002E-2</v>
      </c>
      <c r="AE31">
        <f>GHG!E47</f>
        <v>2.9921139999999999E-2</v>
      </c>
      <c r="AF31">
        <f>GHG!F47</f>
        <v>1.4069208E-2</v>
      </c>
      <c r="AG31">
        <f>GHG!AB47</f>
        <v>20.363897399999999</v>
      </c>
      <c r="AH31">
        <f>GHG!AC47</f>
        <v>28.3851084</v>
      </c>
      <c r="AI31">
        <f>GHG!AD47</f>
        <v>28.385107999999999</v>
      </c>
      <c r="AJ31">
        <f>GHG!AE47</f>
        <v>28.385107999999999</v>
      </c>
      <c r="AK31">
        <f>GHG!AF47</f>
        <v>24.128877299999999</v>
      </c>
      <c r="AL31">
        <f>GHG!AG47</f>
        <v>24.128876999999999</v>
      </c>
      <c r="AM31">
        <f>GHG!AH47</f>
        <v>24.128876999999999</v>
      </c>
      <c r="AN31">
        <f>GHG!AI47</f>
        <v>28.52283722</v>
      </c>
      <c r="AO31">
        <f>GHG!AJ47</f>
        <v>28.030647009999999</v>
      </c>
      <c r="AP31">
        <f>GHG!B47</f>
        <v>2.8213350000000002E-2</v>
      </c>
      <c r="AQ31">
        <f>GHG!C47</f>
        <v>2.6362242000000001E-2</v>
      </c>
      <c r="AR31">
        <f>GHG!D47</f>
        <v>3.3346669000000002E-2</v>
      </c>
      <c r="AS31">
        <f>GHG!E47</f>
        <v>2.9921139999999999E-2</v>
      </c>
      <c r="AT31">
        <f>GHG!F47</f>
        <v>1.4069208E-2</v>
      </c>
      <c r="AU31">
        <f>GHG!AB111</f>
        <v>1.1536216E-2</v>
      </c>
      <c r="AV31">
        <f>GHG!AC111</f>
        <v>6.9217293999999999E-2</v>
      </c>
      <c r="AW31">
        <f>GHG!AD111</f>
        <v>6.9217299999999995E-2</v>
      </c>
      <c r="AX31">
        <f>GHG!AE111</f>
        <v>6.9217299999999995E-2</v>
      </c>
      <c r="AY31">
        <f>GHG!AF111</f>
        <v>6.9217293999999999E-2</v>
      </c>
      <c r="AZ31">
        <f>GHG!AG111</f>
        <v>6.9217299999999995E-2</v>
      </c>
      <c r="BA31">
        <f>GHG!AH111</f>
        <v>6.9217299999999995E-2</v>
      </c>
      <c r="BB31">
        <f>GHG!AI111</f>
        <v>6.9217293999999999E-2</v>
      </c>
      <c r="BC31">
        <f>GHG!AJ111</f>
        <v>6.9217293999999999E-2</v>
      </c>
      <c r="BD31">
        <f>GHG!B175</f>
        <v>2.5337129999999999E-3</v>
      </c>
      <c r="BE31">
        <f>GHG!C175</f>
        <v>2.2499579999999998E-3</v>
      </c>
      <c r="BF31">
        <f>GHG!D175</f>
        <v>2.9287480000000001E-3</v>
      </c>
      <c r="BG31">
        <f>GHG!E175</f>
        <v>2.6405700000000001E-3</v>
      </c>
      <c r="BH31">
        <f>GHG!F175</f>
        <v>1.2772250000000001E-3</v>
      </c>
      <c r="BI31">
        <f>GHG!AB175</f>
        <v>5.1696509999999999E-3</v>
      </c>
      <c r="BJ31">
        <f>GHG!AC175</f>
        <v>1.5508954E-2</v>
      </c>
      <c r="BK31">
        <f>GHG!AD175</f>
        <v>1.5509E-2</v>
      </c>
      <c r="BL31">
        <f>GHG!AE175</f>
        <v>1.5509E-2</v>
      </c>
      <c r="BM31">
        <f>GHG!AF175</f>
        <v>1.5508954E-2</v>
      </c>
      <c r="BN31">
        <f>GHG!AG175</f>
        <v>1.5509E-2</v>
      </c>
      <c r="BO31">
        <f>GHG!AH175</f>
        <v>1.5509E-2</v>
      </c>
      <c r="BP31">
        <f>GHG!AI175</f>
        <v>1.5508954E-2</v>
      </c>
      <c r="BQ31">
        <f>GHG!AJ175</f>
        <v>1.5508954E-2</v>
      </c>
    </row>
    <row r="32" spans="1:69" x14ac:dyDescent="0.25">
      <c r="A32">
        <v>24</v>
      </c>
      <c r="B32" s="1">
        <f>Originial!B43</f>
        <v>0.08</v>
      </c>
      <c r="C32" s="1">
        <f>Originial!C43</f>
        <v>0.06</v>
      </c>
      <c r="D32" s="1">
        <f>Originial!D43</f>
        <v>0.08</v>
      </c>
      <c r="E32" s="1">
        <f>Originial!E43</f>
        <v>0.06</v>
      </c>
      <c r="F32" s="1">
        <f>Originial!F43</f>
        <v>0.05</v>
      </c>
      <c r="G32" s="1">
        <f>Originial!H43</f>
        <v>83.26</v>
      </c>
      <c r="H32" s="1">
        <f>Originial!J43</f>
        <v>17.64</v>
      </c>
      <c r="I32" s="1">
        <f>Originial!N43</f>
        <v>4.78</v>
      </c>
      <c r="J32" s="1">
        <f>Originial!O43</f>
        <v>31.16</v>
      </c>
      <c r="K32" s="1">
        <f>Originial!P43</f>
        <v>20.440000000000001</v>
      </c>
      <c r="L32" s="1">
        <f>Originial!Q43</f>
        <v>20.239999999999998</v>
      </c>
      <c r="M32" s="1">
        <f>Originial!R43</f>
        <v>33.07</v>
      </c>
      <c r="N32" s="1">
        <f>Originial!S43</f>
        <v>29.87</v>
      </c>
      <c r="O32" s="1">
        <f>Originial!T43</f>
        <v>33.799999999999997</v>
      </c>
      <c r="P32" s="1">
        <f>Originial!U43</f>
        <v>33.06</v>
      </c>
      <c r="Q32" s="1">
        <f>Originial!V43</f>
        <v>23.56</v>
      </c>
      <c r="R32" s="1">
        <f>Originial!AE43</f>
        <v>1.7000000000000001E-2</v>
      </c>
      <c r="S32" s="1">
        <f>Originial!AO43</f>
        <v>0.25</v>
      </c>
      <c r="T32" s="1">
        <f>Originial!AP43</f>
        <v>0.17</v>
      </c>
      <c r="U32" s="1">
        <f>Originial!AQ43</f>
        <v>0.09</v>
      </c>
      <c r="V32" s="1">
        <f>Originial!AT43</f>
        <v>12.37</v>
      </c>
      <c r="W32" s="1">
        <f>Originial!AU43</f>
        <v>12.98</v>
      </c>
      <c r="X32" s="1">
        <f>Originial!AV43</f>
        <v>9.7100000000000009</v>
      </c>
      <c r="Y32" s="1">
        <f>Originial!AY43</f>
        <v>31.16</v>
      </c>
      <c r="Z32" s="1">
        <f>Originial!AZ43</f>
        <v>20.440000000000001</v>
      </c>
      <c r="AA32" s="1">
        <f>Originial!BA43</f>
        <v>20.239999999999998</v>
      </c>
      <c r="AB32">
        <f>GHG!B48</f>
        <v>2.7577381000000002E-2</v>
      </c>
      <c r="AC32">
        <f>GHG!C48</f>
        <v>2.6043325999999999E-2</v>
      </c>
      <c r="AD32">
        <f>GHG!D48</f>
        <v>3.3455066999999998E-2</v>
      </c>
      <c r="AE32">
        <f>GHG!E48</f>
        <v>2.9948371000000001E-2</v>
      </c>
      <c r="AF32">
        <f>GHG!F48</f>
        <v>1.4121519000000001E-2</v>
      </c>
      <c r="AG32">
        <f>GHG!AB48</f>
        <v>20.635416029999998</v>
      </c>
      <c r="AH32">
        <f>GHG!AC48</f>
        <v>28.76357651</v>
      </c>
      <c r="AI32">
        <f>GHG!AD48</f>
        <v>28.763577000000002</v>
      </c>
      <c r="AJ32">
        <f>GHG!AE48</f>
        <v>28.763577000000002</v>
      </c>
      <c r="AK32">
        <f>GHG!AF48</f>
        <v>24.450595660000001</v>
      </c>
      <c r="AL32">
        <f>GHG!AG48</f>
        <v>24.450596000000001</v>
      </c>
      <c r="AM32">
        <f>GHG!AH48</f>
        <v>24.450596000000001</v>
      </c>
      <c r="AN32">
        <f>GHG!AI48</f>
        <v>28.903141720000001</v>
      </c>
      <c r="AO32">
        <f>GHG!AJ48</f>
        <v>28.404388969999999</v>
      </c>
      <c r="AP32">
        <f>GHG!B48</f>
        <v>2.7577381000000002E-2</v>
      </c>
      <c r="AQ32">
        <f>GHG!C48</f>
        <v>2.6043325999999999E-2</v>
      </c>
      <c r="AR32">
        <f>GHG!D48</f>
        <v>3.3455066999999998E-2</v>
      </c>
      <c r="AS32">
        <f>GHG!E48</f>
        <v>2.9948371000000001E-2</v>
      </c>
      <c r="AT32">
        <f>GHG!F48</f>
        <v>1.4121519000000001E-2</v>
      </c>
      <c r="AU32">
        <f>GHG!AB112</f>
        <v>1.1716597E-2</v>
      </c>
      <c r="AV32">
        <f>GHG!AC112</f>
        <v>7.0299581999999999E-2</v>
      </c>
      <c r="AW32">
        <f>GHG!AD112</f>
        <v>7.0299600000000004E-2</v>
      </c>
      <c r="AX32">
        <f>GHG!AE112</f>
        <v>7.0299600000000004E-2</v>
      </c>
      <c r="AY32">
        <f>GHG!AF112</f>
        <v>7.0299581999999999E-2</v>
      </c>
      <c r="AZ32">
        <f>GHG!AG112</f>
        <v>7.0299600000000004E-2</v>
      </c>
      <c r="BA32">
        <f>GHG!AH112</f>
        <v>7.0299600000000004E-2</v>
      </c>
      <c r="BB32">
        <f>GHG!AI112</f>
        <v>7.0299581999999999E-2</v>
      </c>
      <c r="BC32">
        <f>GHG!AJ112</f>
        <v>7.0299581999999999E-2</v>
      </c>
      <c r="BD32">
        <f>GHG!B176</f>
        <v>2.5089090000000001E-3</v>
      </c>
      <c r="BE32">
        <f>GHG!C176</f>
        <v>2.2507949999999999E-3</v>
      </c>
      <c r="BF32">
        <f>GHG!D176</f>
        <v>2.9871419999999999E-3</v>
      </c>
      <c r="BG32">
        <f>GHG!E176</f>
        <v>2.6799459999999999E-3</v>
      </c>
      <c r="BH32">
        <f>GHG!F176</f>
        <v>1.296178E-3</v>
      </c>
      <c r="BI32">
        <f>GHG!AB176</f>
        <v>5.2911850000000003E-3</v>
      </c>
      <c r="BJ32">
        <f>GHG!AC176</f>
        <v>1.5873554000000002E-2</v>
      </c>
      <c r="BK32">
        <f>GHG!AD176</f>
        <v>1.5873600000000002E-2</v>
      </c>
      <c r="BL32">
        <f>GHG!AE176</f>
        <v>1.5873600000000002E-2</v>
      </c>
      <c r="BM32">
        <f>GHG!AF176</f>
        <v>1.5873554000000002E-2</v>
      </c>
      <c r="BN32">
        <f>GHG!AG176</f>
        <v>1.5873600000000002E-2</v>
      </c>
      <c r="BO32">
        <f>GHG!AH176</f>
        <v>1.5873600000000002E-2</v>
      </c>
      <c r="BP32">
        <f>GHG!AI176</f>
        <v>1.5873554000000002E-2</v>
      </c>
      <c r="BQ32">
        <f>GHG!AJ176</f>
        <v>1.5873554000000002E-2</v>
      </c>
    </row>
    <row r="33" spans="1:69" x14ac:dyDescent="0.25">
      <c r="A33">
        <v>25</v>
      </c>
      <c r="B33" s="1">
        <f>Originial!B44</f>
        <v>0.08</v>
      </c>
      <c r="C33" s="1">
        <f>Originial!C44</f>
        <v>0.06</v>
      </c>
      <c r="D33" s="1">
        <f>Originial!D44</f>
        <v>0.08</v>
      </c>
      <c r="E33" s="1">
        <f>Originial!E44</f>
        <v>0.06</v>
      </c>
      <c r="F33" s="1">
        <f>Originial!F44</f>
        <v>0.05</v>
      </c>
      <c r="G33" s="1">
        <f>Originial!H44</f>
        <v>81.709999999999994</v>
      </c>
      <c r="H33" s="1">
        <f>Originial!J44</f>
        <v>17.100000000000001</v>
      </c>
      <c r="I33" s="1">
        <f>Originial!N44</f>
        <v>4.68</v>
      </c>
      <c r="J33" s="1">
        <f>Originial!O44</f>
        <v>31.29</v>
      </c>
      <c r="K33" s="1">
        <f>Originial!P44</f>
        <v>20.55</v>
      </c>
      <c r="L33" s="1">
        <f>Originial!Q44</f>
        <v>20.34</v>
      </c>
      <c r="M33" s="1">
        <f>Originial!R44</f>
        <v>33.229999999999997</v>
      </c>
      <c r="N33" s="1">
        <f>Originial!S44</f>
        <v>29.95</v>
      </c>
      <c r="O33" s="1">
        <f>Originial!T44</f>
        <v>33.93</v>
      </c>
      <c r="P33" s="1">
        <f>Originial!U44</f>
        <v>33.130000000000003</v>
      </c>
      <c r="Q33" s="1">
        <f>Originial!V44</f>
        <v>23.79</v>
      </c>
      <c r="R33" s="1">
        <f>Originial!AE44</f>
        <v>1.7000000000000001E-2</v>
      </c>
      <c r="S33" s="1">
        <f>Originial!AO44</f>
        <v>0.25</v>
      </c>
      <c r="T33" s="1">
        <f>Originial!AP44</f>
        <v>0.17</v>
      </c>
      <c r="U33" s="1">
        <f>Originial!AQ44</f>
        <v>0.09</v>
      </c>
      <c r="V33" s="1">
        <f>Originial!AT44</f>
        <v>12.35</v>
      </c>
      <c r="W33" s="1">
        <f>Originial!AU44</f>
        <v>12.92</v>
      </c>
      <c r="X33" s="1">
        <f>Originial!AV44</f>
        <v>9.61</v>
      </c>
      <c r="Y33" s="1">
        <f>Originial!AY44</f>
        <v>31.29</v>
      </c>
      <c r="Z33" s="1">
        <f>Originial!AZ44</f>
        <v>20.55</v>
      </c>
      <c r="AA33" s="1">
        <f>Originial!BA44</f>
        <v>20.34</v>
      </c>
      <c r="AB33">
        <f>GHG!B49</f>
        <v>2.6914777000000001E-2</v>
      </c>
      <c r="AC33">
        <f>GHG!C49</f>
        <v>2.5706768000000001E-2</v>
      </c>
      <c r="AD33">
        <f>GHG!D49</f>
        <v>3.3554617000000002E-2</v>
      </c>
      <c r="AE33">
        <f>GHG!E49</f>
        <v>2.9965821E-2</v>
      </c>
      <c r="AF33">
        <f>GHG!F49</f>
        <v>1.417027E-2</v>
      </c>
      <c r="AG33">
        <f>GHG!AB49</f>
        <v>20.906934660000001</v>
      </c>
      <c r="AH33">
        <f>GHG!AC49</f>
        <v>29.14204462</v>
      </c>
      <c r="AI33">
        <f>GHG!AD49</f>
        <v>29.142045</v>
      </c>
      <c r="AJ33">
        <f>GHG!AE49</f>
        <v>29.142045</v>
      </c>
      <c r="AK33">
        <f>GHG!AF49</f>
        <v>24.77231403</v>
      </c>
      <c r="AL33">
        <f>GHG!AG49</f>
        <v>24.772314000000001</v>
      </c>
      <c r="AM33">
        <f>GHG!AH49</f>
        <v>24.772314000000001</v>
      </c>
      <c r="AN33">
        <f>GHG!AI49</f>
        <v>29.283446210000001</v>
      </c>
      <c r="AO33">
        <f>GHG!AJ49</f>
        <v>28.77813093</v>
      </c>
      <c r="AP33">
        <f>GHG!B49</f>
        <v>2.6914777000000001E-2</v>
      </c>
      <c r="AQ33">
        <f>GHG!C49</f>
        <v>2.5706768000000001E-2</v>
      </c>
      <c r="AR33">
        <f>GHG!D49</f>
        <v>3.3554617000000002E-2</v>
      </c>
      <c r="AS33">
        <f>GHG!E49</f>
        <v>2.9965821E-2</v>
      </c>
      <c r="AT33">
        <f>GHG!F49</f>
        <v>1.417027E-2</v>
      </c>
      <c r="AU33">
        <f>GHG!AB113</f>
        <v>1.1896978000000001E-2</v>
      </c>
      <c r="AV33">
        <f>GHG!AC113</f>
        <v>7.138187E-2</v>
      </c>
      <c r="AW33">
        <f>GHG!AD113</f>
        <v>7.1381899999999998E-2</v>
      </c>
      <c r="AX33">
        <f>GHG!AE113</f>
        <v>7.1381899999999998E-2</v>
      </c>
      <c r="AY33">
        <f>GHG!AF113</f>
        <v>7.138187E-2</v>
      </c>
      <c r="AZ33">
        <f>GHG!AG113</f>
        <v>7.1381899999999998E-2</v>
      </c>
      <c r="BA33">
        <f>GHG!AH113</f>
        <v>7.1381899999999998E-2</v>
      </c>
      <c r="BB33">
        <f>GHG!AI113</f>
        <v>7.138187E-2</v>
      </c>
      <c r="BC33">
        <f>GHG!AJ113</f>
        <v>7.138187E-2</v>
      </c>
      <c r="BD33">
        <f>GHG!B177</f>
        <v>2.480229E-3</v>
      </c>
      <c r="BE33">
        <f>GHG!C177</f>
        <v>2.2492419999999998E-3</v>
      </c>
      <c r="BF33">
        <f>GHG!D177</f>
        <v>3.045056E-3</v>
      </c>
      <c r="BG33">
        <f>GHG!E177</f>
        <v>2.71828E-3</v>
      </c>
      <c r="BH33">
        <f>GHG!F177</f>
        <v>1.314623E-3</v>
      </c>
      <c r="BI33">
        <f>GHG!AB177</f>
        <v>5.4127180000000004E-3</v>
      </c>
      <c r="BJ33">
        <f>GHG!AC177</f>
        <v>1.6238155000000001E-2</v>
      </c>
      <c r="BK33">
        <f>GHG!AD177</f>
        <v>1.6238200000000001E-2</v>
      </c>
      <c r="BL33">
        <f>GHG!AE177</f>
        <v>1.6238200000000001E-2</v>
      </c>
      <c r="BM33">
        <f>GHG!AF177</f>
        <v>1.6238155000000001E-2</v>
      </c>
      <c r="BN33">
        <f>GHG!AG177</f>
        <v>1.6238200000000001E-2</v>
      </c>
      <c r="BO33">
        <f>GHG!AH177</f>
        <v>1.6238200000000001E-2</v>
      </c>
      <c r="BP33">
        <f>GHG!AI177</f>
        <v>1.6238155000000001E-2</v>
      </c>
      <c r="BQ33">
        <f>GHG!AJ177</f>
        <v>1.6238155000000001E-2</v>
      </c>
    </row>
    <row r="34" spans="1:69" x14ac:dyDescent="0.25">
      <c r="A34">
        <v>26</v>
      </c>
      <c r="B34" s="1">
        <f>Originial!B45</f>
        <v>0.08</v>
      </c>
      <c r="C34" s="1">
        <f>Originial!C45</f>
        <v>0.06</v>
      </c>
      <c r="D34" s="1">
        <f>Originial!D45</f>
        <v>0.08</v>
      </c>
      <c r="E34" s="1">
        <f>Originial!E45</f>
        <v>0.06</v>
      </c>
      <c r="F34" s="1">
        <f>Originial!F45</f>
        <v>0.05</v>
      </c>
      <c r="G34" s="1">
        <f>Originial!H45</f>
        <v>81.709999999999994</v>
      </c>
      <c r="H34" s="1">
        <f>Originial!J45</f>
        <v>17.100000000000001</v>
      </c>
      <c r="I34" s="1">
        <f>Originial!N45</f>
        <v>4.68</v>
      </c>
      <c r="J34" s="1">
        <f>Originial!O45</f>
        <v>31.29</v>
      </c>
      <c r="K34" s="1">
        <f>Originial!P45</f>
        <v>20.55</v>
      </c>
      <c r="L34" s="1">
        <f>Originial!Q45</f>
        <v>20.34</v>
      </c>
      <c r="M34" s="1">
        <f>Originial!R45</f>
        <v>33.229999999999997</v>
      </c>
      <c r="N34" s="1">
        <f>Originial!S45</f>
        <v>29.95</v>
      </c>
      <c r="O34" s="1">
        <f>Originial!T45</f>
        <v>33.93</v>
      </c>
      <c r="P34" s="1">
        <f>Originial!U45</f>
        <v>33.130000000000003</v>
      </c>
      <c r="Q34" s="1">
        <f>Originial!V45</f>
        <v>23.79</v>
      </c>
      <c r="R34" s="1">
        <f>Originial!AE45</f>
        <v>1.7000000000000001E-2</v>
      </c>
      <c r="S34" s="1">
        <f>Originial!AO45</f>
        <v>0.25</v>
      </c>
      <c r="T34" s="1">
        <f>Originial!AP45</f>
        <v>0.17</v>
      </c>
      <c r="U34" s="1">
        <f>Originial!AQ45</f>
        <v>0.09</v>
      </c>
      <c r="V34" s="1">
        <f>Originial!AT45</f>
        <v>12.35</v>
      </c>
      <c r="W34" s="1">
        <f>Originial!AU45</f>
        <v>12.92</v>
      </c>
      <c r="X34" s="1">
        <f>Originial!AV45</f>
        <v>9.61</v>
      </c>
      <c r="Y34" s="1">
        <f>Originial!AY45</f>
        <v>31.29</v>
      </c>
      <c r="Z34" s="1">
        <f>Originial!AZ45</f>
        <v>20.55</v>
      </c>
      <c r="AA34" s="1">
        <f>Originial!BA45</f>
        <v>20.34</v>
      </c>
      <c r="AB34">
        <f>GHG!B50</f>
        <v>2.6914777000000001E-2</v>
      </c>
      <c r="AC34">
        <f>GHG!C50</f>
        <v>2.5706768000000001E-2</v>
      </c>
      <c r="AD34">
        <f>GHG!D50</f>
        <v>3.3554617000000002E-2</v>
      </c>
      <c r="AE34">
        <f>GHG!E50</f>
        <v>2.9965821E-2</v>
      </c>
      <c r="AF34">
        <f>GHG!F50</f>
        <v>1.417027E-2</v>
      </c>
      <c r="AG34">
        <f>GHG!AB50</f>
        <v>20.906934660000001</v>
      </c>
      <c r="AH34">
        <f>GHG!AC50</f>
        <v>29.14204462</v>
      </c>
      <c r="AI34">
        <f>GHG!AD50</f>
        <v>29.142045</v>
      </c>
      <c r="AJ34">
        <f>GHG!AE50</f>
        <v>29.142045</v>
      </c>
      <c r="AK34">
        <f>GHG!AF50</f>
        <v>24.77231403</v>
      </c>
      <c r="AL34">
        <f>GHG!AG50</f>
        <v>24.772314000000001</v>
      </c>
      <c r="AM34">
        <f>GHG!AH50</f>
        <v>24.772314000000001</v>
      </c>
      <c r="AN34">
        <f>GHG!AI50</f>
        <v>29.283446210000001</v>
      </c>
      <c r="AO34">
        <f>GHG!AJ50</f>
        <v>28.77813093</v>
      </c>
      <c r="AP34">
        <f>GHG!B50</f>
        <v>2.6914777000000001E-2</v>
      </c>
      <c r="AQ34">
        <f>GHG!C50</f>
        <v>2.5706768000000001E-2</v>
      </c>
      <c r="AR34">
        <f>GHG!D50</f>
        <v>3.3554617000000002E-2</v>
      </c>
      <c r="AS34">
        <f>GHG!E50</f>
        <v>2.9965821E-2</v>
      </c>
      <c r="AT34">
        <f>GHG!F50</f>
        <v>1.417027E-2</v>
      </c>
      <c r="AU34">
        <f>GHG!AB114</f>
        <v>1.1896978000000001E-2</v>
      </c>
      <c r="AV34">
        <f>GHG!AC114</f>
        <v>7.138187E-2</v>
      </c>
      <c r="AW34">
        <f>GHG!AD114</f>
        <v>7.1381899999999998E-2</v>
      </c>
      <c r="AX34">
        <f>GHG!AE114</f>
        <v>7.1381899999999998E-2</v>
      </c>
      <c r="AY34">
        <f>GHG!AF114</f>
        <v>7.138187E-2</v>
      </c>
      <c r="AZ34">
        <f>GHG!AG114</f>
        <v>7.1381899999999998E-2</v>
      </c>
      <c r="BA34">
        <f>GHG!AH114</f>
        <v>7.1381899999999998E-2</v>
      </c>
      <c r="BB34">
        <f>GHG!AI114</f>
        <v>7.138187E-2</v>
      </c>
      <c r="BC34">
        <f>GHG!AJ114</f>
        <v>7.138187E-2</v>
      </c>
      <c r="BD34">
        <f>GHG!B178</f>
        <v>2.480229E-3</v>
      </c>
      <c r="BE34">
        <f>GHG!C178</f>
        <v>2.2492419999999998E-3</v>
      </c>
      <c r="BF34">
        <f>GHG!D178</f>
        <v>3.045056E-3</v>
      </c>
      <c r="BG34">
        <f>GHG!E178</f>
        <v>2.71828E-3</v>
      </c>
      <c r="BH34">
        <f>GHG!F178</f>
        <v>1.314623E-3</v>
      </c>
      <c r="BI34">
        <f>GHG!AB178</f>
        <v>5.4127180000000004E-3</v>
      </c>
      <c r="BJ34">
        <f>GHG!AC178</f>
        <v>1.6238155000000001E-2</v>
      </c>
      <c r="BK34">
        <f>GHG!AD178</f>
        <v>1.6238200000000001E-2</v>
      </c>
      <c r="BL34">
        <f>GHG!AE178</f>
        <v>1.6238200000000001E-2</v>
      </c>
      <c r="BM34">
        <f>GHG!AF178</f>
        <v>1.6238155000000001E-2</v>
      </c>
      <c r="BN34">
        <f>GHG!AG178</f>
        <v>1.6238200000000001E-2</v>
      </c>
      <c r="BO34">
        <f>GHG!AH178</f>
        <v>1.6238200000000001E-2</v>
      </c>
      <c r="BP34">
        <f>GHG!AI178</f>
        <v>1.6238155000000001E-2</v>
      </c>
      <c r="BQ34">
        <f>GHG!AJ178</f>
        <v>1.6238155000000001E-2</v>
      </c>
    </row>
    <row r="35" spans="1:69" x14ac:dyDescent="0.25">
      <c r="A35">
        <v>27</v>
      </c>
      <c r="B35" s="1">
        <f>Originial!B46</f>
        <v>0.08</v>
      </c>
      <c r="C35" s="1">
        <f>Originial!C46</f>
        <v>0.06</v>
      </c>
      <c r="D35" s="1">
        <f>Originial!D46</f>
        <v>0.08</v>
      </c>
      <c r="E35" s="1">
        <f>Originial!E46</f>
        <v>0.06</v>
      </c>
      <c r="F35" s="1">
        <f>Originial!F46</f>
        <v>0.05</v>
      </c>
      <c r="G35" s="1">
        <f>Originial!H46</f>
        <v>81.709999999999994</v>
      </c>
      <c r="H35" s="1">
        <f>Originial!J46</f>
        <v>17.100000000000001</v>
      </c>
      <c r="I35" s="1">
        <f>Originial!N46</f>
        <v>4.68</v>
      </c>
      <c r="J35" s="1">
        <f>Originial!O46</f>
        <v>31.29</v>
      </c>
      <c r="K35" s="1">
        <f>Originial!P46</f>
        <v>20.55</v>
      </c>
      <c r="L35" s="1">
        <f>Originial!Q46</f>
        <v>20.34</v>
      </c>
      <c r="M35" s="1">
        <f>Originial!R46</f>
        <v>33.229999999999997</v>
      </c>
      <c r="N35" s="1">
        <f>Originial!S46</f>
        <v>29.95</v>
      </c>
      <c r="O35" s="1">
        <f>Originial!T46</f>
        <v>33.93</v>
      </c>
      <c r="P35" s="1">
        <f>Originial!U46</f>
        <v>33.130000000000003</v>
      </c>
      <c r="Q35" s="1">
        <f>Originial!V46</f>
        <v>23.79</v>
      </c>
      <c r="R35" s="1">
        <f>Originial!AE46</f>
        <v>1.7000000000000001E-2</v>
      </c>
      <c r="S35" s="1">
        <f>Originial!AO46</f>
        <v>0.25</v>
      </c>
      <c r="T35" s="1">
        <f>Originial!AP46</f>
        <v>0.17</v>
      </c>
      <c r="U35" s="1">
        <f>Originial!AQ46</f>
        <v>0.09</v>
      </c>
      <c r="V35" s="1">
        <f>Originial!AT46</f>
        <v>12.35</v>
      </c>
      <c r="W35" s="1">
        <f>Originial!AU46</f>
        <v>12.92</v>
      </c>
      <c r="X35" s="1">
        <f>Originial!AV46</f>
        <v>9.61</v>
      </c>
      <c r="Y35" s="1">
        <f>Originial!AY46</f>
        <v>31.29</v>
      </c>
      <c r="Z35" s="1">
        <f>Originial!AZ46</f>
        <v>20.55</v>
      </c>
      <c r="AA35" s="1">
        <f>Originial!BA46</f>
        <v>20.34</v>
      </c>
      <c r="AB35">
        <f>GHG!B51</f>
        <v>2.6914777000000001E-2</v>
      </c>
      <c r="AC35">
        <f>GHG!C51</f>
        <v>2.5706768000000001E-2</v>
      </c>
      <c r="AD35">
        <f>GHG!D51</f>
        <v>3.3554617000000002E-2</v>
      </c>
      <c r="AE35">
        <f>GHG!E51</f>
        <v>2.9965821E-2</v>
      </c>
      <c r="AF35">
        <f>GHG!F51</f>
        <v>1.417027E-2</v>
      </c>
      <c r="AG35">
        <f>GHG!AB51</f>
        <v>20.906934660000001</v>
      </c>
      <c r="AH35">
        <f>GHG!AC51</f>
        <v>29.14204462</v>
      </c>
      <c r="AI35">
        <f>GHG!AD51</f>
        <v>29.142045</v>
      </c>
      <c r="AJ35">
        <f>GHG!AE51</f>
        <v>29.142045</v>
      </c>
      <c r="AK35">
        <f>GHG!AF51</f>
        <v>24.77231403</v>
      </c>
      <c r="AL35">
        <f>GHG!AG51</f>
        <v>24.772314000000001</v>
      </c>
      <c r="AM35">
        <f>GHG!AH51</f>
        <v>24.772314000000001</v>
      </c>
      <c r="AN35">
        <f>GHG!AI51</f>
        <v>29.283446210000001</v>
      </c>
      <c r="AO35">
        <f>GHG!AJ51</f>
        <v>28.77813093</v>
      </c>
      <c r="AP35">
        <f>GHG!B51</f>
        <v>2.6914777000000001E-2</v>
      </c>
      <c r="AQ35">
        <f>GHG!C51</f>
        <v>2.5706768000000001E-2</v>
      </c>
      <c r="AR35">
        <f>GHG!D51</f>
        <v>3.3554617000000002E-2</v>
      </c>
      <c r="AS35">
        <f>GHG!E51</f>
        <v>2.9965821E-2</v>
      </c>
      <c r="AT35">
        <f>GHG!F51</f>
        <v>1.417027E-2</v>
      </c>
      <c r="AU35">
        <f>GHG!AB115</f>
        <v>1.1896978000000001E-2</v>
      </c>
      <c r="AV35">
        <f>GHG!AC115</f>
        <v>7.138187E-2</v>
      </c>
      <c r="AW35">
        <f>GHG!AD115</f>
        <v>7.1381899999999998E-2</v>
      </c>
      <c r="AX35">
        <f>GHG!AE115</f>
        <v>7.1381899999999998E-2</v>
      </c>
      <c r="AY35">
        <f>GHG!AF115</f>
        <v>7.138187E-2</v>
      </c>
      <c r="AZ35">
        <f>GHG!AG115</f>
        <v>7.1381899999999998E-2</v>
      </c>
      <c r="BA35">
        <f>GHG!AH115</f>
        <v>7.1381899999999998E-2</v>
      </c>
      <c r="BB35">
        <f>GHG!AI115</f>
        <v>7.138187E-2</v>
      </c>
      <c r="BC35">
        <f>GHG!AJ115</f>
        <v>7.138187E-2</v>
      </c>
      <c r="BD35">
        <f>GHG!B179</f>
        <v>2.480229E-3</v>
      </c>
      <c r="BE35">
        <f>GHG!C179</f>
        <v>2.2492419999999998E-3</v>
      </c>
      <c r="BF35">
        <f>GHG!D179</f>
        <v>3.045056E-3</v>
      </c>
      <c r="BG35">
        <f>GHG!E179</f>
        <v>2.71828E-3</v>
      </c>
      <c r="BH35">
        <f>GHG!F179</f>
        <v>1.314623E-3</v>
      </c>
      <c r="BI35">
        <f>GHG!AB179</f>
        <v>5.4127180000000004E-3</v>
      </c>
      <c r="BJ35">
        <f>GHG!AC179</f>
        <v>1.6238155000000001E-2</v>
      </c>
      <c r="BK35">
        <f>GHG!AD179</f>
        <v>1.6238200000000001E-2</v>
      </c>
      <c r="BL35">
        <f>GHG!AE179</f>
        <v>1.6238200000000001E-2</v>
      </c>
      <c r="BM35">
        <f>GHG!AF179</f>
        <v>1.6238155000000001E-2</v>
      </c>
      <c r="BN35">
        <f>GHG!AG179</f>
        <v>1.6238200000000001E-2</v>
      </c>
      <c r="BO35">
        <f>GHG!AH179</f>
        <v>1.6238200000000001E-2</v>
      </c>
      <c r="BP35">
        <f>GHG!AI179</f>
        <v>1.6238155000000001E-2</v>
      </c>
      <c r="BQ35">
        <f>GHG!AJ179</f>
        <v>1.6238155000000001E-2</v>
      </c>
    </row>
    <row r="36" spans="1:69" x14ac:dyDescent="0.25">
      <c r="A36">
        <v>28</v>
      </c>
      <c r="B36" s="1">
        <f>Originial!B47</f>
        <v>0.08</v>
      </c>
      <c r="C36" s="1">
        <f>Originial!C47</f>
        <v>0.06</v>
      </c>
      <c r="D36" s="1">
        <f>Originial!D47</f>
        <v>0.08</v>
      </c>
      <c r="E36" s="1">
        <f>Originial!E47</f>
        <v>0.06</v>
      </c>
      <c r="F36" s="1">
        <f>Originial!F47</f>
        <v>0.05</v>
      </c>
      <c r="G36" s="1">
        <f>Originial!H47</f>
        <v>81.709999999999994</v>
      </c>
      <c r="H36" s="1">
        <f>Originial!J47</f>
        <v>17.100000000000001</v>
      </c>
      <c r="I36" s="1">
        <f>Originial!N47</f>
        <v>4.68</v>
      </c>
      <c r="J36" s="1">
        <f>Originial!O47</f>
        <v>31.29</v>
      </c>
      <c r="K36" s="1">
        <f>Originial!P47</f>
        <v>20.55</v>
      </c>
      <c r="L36" s="1">
        <f>Originial!Q47</f>
        <v>20.34</v>
      </c>
      <c r="M36" s="1">
        <f>Originial!R47</f>
        <v>33.229999999999997</v>
      </c>
      <c r="N36" s="1">
        <f>Originial!S47</f>
        <v>29.95</v>
      </c>
      <c r="O36" s="1">
        <f>Originial!T47</f>
        <v>33.93</v>
      </c>
      <c r="P36" s="1">
        <f>Originial!U47</f>
        <v>33.130000000000003</v>
      </c>
      <c r="Q36" s="1">
        <f>Originial!V47</f>
        <v>23.79</v>
      </c>
      <c r="R36" s="1">
        <f>Originial!AE47</f>
        <v>1.7000000000000001E-2</v>
      </c>
      <c r="S36" s="1">
        <f>Originial!AO47</f>
        <v>0.25</v>
      </c>
      <c r="T36" s="1">
        <f>Originial!AP47</f>
        <v>0.17</v>
      </c>
      <c r="U36" s="1">
        <f>Originial!AQ47</f>
        <v>0.09</v>
      </c>
      <c r="V36" s="1">
        <f>Originial!AT47</f>
        <v>12.35</v>
      </c>
      <c r="W36" s="1">
        <f>Originial!AU47</f>
        <v>12.92</v>
      </c>
      <c r="X36" s="1">
        <f>Originial!AV47</f>
        <v>9.61</v>
      </c>
      <c r="Y36" s="1">
        <f>Originial!AY47</f>
        <v>31.29</v>
      </c>
      <c r="Z36" s="1">
        <f>Originial!AZ47</f>
        <v>20.55</v>
      </c>
      <c r="AA36" s="1">
        <f>Originial!BA47</f>
        <v>20.34</v>
      </c>
      <c r="AB36">
        <f>GHG!B52</f>
        <v>2.6914777000000001E-2</v>
      </c>
      <c r="AC36">
        <f>GHG!C52</f>
        <v>2.5706768000000001E-2</v>
      </c>
      <c r="AD36">
        <f>GHG!D52</f>
        <v>3.3554617000000002E-2</v>
      </c>
      <c r="AE36">
        <f>GHG!E52</f>
        <v>2.9965821E-2</v>
      </c>
      <c r="AF36">
        <f>GHG!F52</f>
        <v>1.417027E-2</v>
      </c>
      <c r="AG36">
        <f>GHG!AB52</f>
        <v>20.906934660000001</v>
      </c>
      <c r="AH36">
        <f>GHG!AC52</f>
        <v>29.14204462</v>
      </c>
      <c r="AI36">
        <f>GHG!AD52</f>
        <v>29.142045</v>
      </c>
      <c r="AJ36">
        <f>GHG!AE52</f>
        <v>29.142045</v>
      </c>
      <c r="AK36">
        <f>GHG!AF52</f>
        <v>24.77231403</v>
      </c>
      <c r="AL36">
        <f>GHG!AG52</f>
        <v>24.772314000000001</v>
      </c>
      <c r="AM36">
        <f>GHG!AH52</f>
        <v>24.772314000000001</v>
      </c>
      <c r="AN36">
        <f>GHG!AI52</f>
        <v>29.283446210000001</v>
      </c>
      <c r="AO36">
        <f>GHG!AJ52</f>
        <v>28.77813093</v>
      </c>
      <c r="AP36">
        <f>GHG!B52</f>
        <v>2.6914777000000001E-2</v>
      </c>
      <c r="AQ36">
        <f>GHG!C52</f>
        <v>2.5706768000000001E-2</v>
      </c>
      <c r="AR36">
        <f>GHG!D52</f>
        <v>3.3554617000000002E-2</v>
      </c>
      <c r="AS36">
        <f>GHG!E52</f>
        <v>2.9965821E-2</v>
      </c>
      <c r="AT36">
        <f>GHG!F52</f>
        <v>1.417027E-2</v>
      </c>
      <c r="AU36">
        <f>GHG!AB116</f>
        <v>1.1896978000000001E-2</v>
      </c>
      <c r="AV36">
        <f>GHG!AC116</f>
        <v>7.138187E-2</v>
      </c>
      <c r="AW36">
        <f>GHG!AD116</f>
        <v>7.1381899999999998E-2</v>
      </c>
      <c r="AX36">
        <f>GHG!AE116</f>
        <v>7.1381899999999998E-2</v>
      </c>
      <c r="AY36">
        <f>GHG!AF116</f>
        <v>7.138187E-2</v>
      </c>
      <c r="AZ36">
        <f>GHG!AG116</f>
        <v>7.1381899999999998E-2</v>
      </c>
      <c r="BA36">
        <f>GHG!AH116</f>
        <v>7.1381899999999998E-2</v>
      </c>
      <c r="BB36">
        <f>GHG!AI116</f>
        <v>7.138187E-2</v>
      </c>
      <c r="BC36">
        <f>GHG!AJ116</f>
        <v>7.138187E-2</v>
      </c>
      <c r="BD36">
        <f>GHG!B180</f>
        <v>2.480229E-3</v>
      </c>
      <c r="BE36">
        <f>GHG!C180</f>
        <v>2.2492419999999998E-3</v>
      </c>
      <c r="BF36">
        <f>GHG!D180</f>
        <v>3.045056E-3</v>
      </c>
      <c r="BG36">
        <f>GHG!E180</f>
        <v>2.71828E-3</v>
      </c>
      <c r="BH36">
        <f>GHG!F180</f>
        <v>1.314623E-3</v>
      </c>
      <c r="BI36">
        <f>GHG!AB180</f>
        <v>5.4127180000000004E-3</v>
      </c>
      <c r="BJ36">
        <f>GHG!AC180</f>
        <v>1.6238155000000001E-2</v>
      </c>
      <c r="BK36">
        <f>GHG!AD180</f>
        <v>1.6238200000000001E-2</v>
      </c>
      <c r="BL36">
        <f>GHG!AE180</f>
        <v>1.6238200000000001E-2</v>
      </c>
      <c r="BM36">
        <f>GHG!AF180</f>
        <v>1.6238155000000001E-2</v>
      </c>
      <c r="BN36">
        <f>GHG!AG180</f>
        <v>1.6238200000000001E-2</v>
      </c>
      <c r="BO36">
        <f>GHG!AH180</f>
        <v>1.6238200000000001E-2</v>
      </c>
      <c r="BP36">
        <f>GHG!AI180</f>
        <v>1.6238155000000001E-2</v>
      </c>
      <c r="BQ36">
        <f>GHG!AJ180</f>
        <v>1.6238155000000001E-2</v>
      </c>
    </row>
    <row r="37" spans="1:69" x14ac:dyDescent="0.25">
      <c r="A37">
        <v>29</v>
      </c>
      <c r="B37" s="1">
        <f>Originial!B48</f>
        <v>0.08</v>
      </c>
      <c r="C37" s="1">
        <f>Originial!C48</f>
        <v>0.06</v>
      </c>
      <c r="D37" s="1">
        <f>Originial!D48</f>
        <v>0.08</v>
      </c>
      <c r="E37" s="1">
        <f>Originial!E48</f>
        <v>0.06</v>
      </c>
      <c r="F37" s="1">
        <f>Originial!F48</f>
        <v>0.05</v>
      </c>
      <c r="G37" s="1">
        <f>Originial!H48</f>
        <v>81.709999999999994</v>
      </c>
      <c r="H37" s="1">
        <f>Originial!J48</f>
        <v>17.100000000000001</v>
      </c>
      <c r="I37" s="1">
        <f>Originial!N48</f>
        <v>4.68</v>
      </c>
      <c r="J37" s="1">
        <f>Originial!O48</f>
        <v>31.29</v>
      </c>
      <c r="K37" s="1">
        <f>Originial!P48</f>
        <v>20.55</v>
      </c>
      <c r="L37" s="1">
        <f>Originial!Q48</f>
        <v>20.34</v>
      </c>
      <c r="M37" s="1">
        <f>Originial!R48</f>
        <v>33.229999999999997</v>
      </c>
      <c r="N37" s="1">
        <f>Originial!S48</f>
        <v>29.95</v>
      </c>
      <c r="O37" s="1">
        <f>Originial!T48</f>
        <v>33.93</v>
      </c>
      <c r="P37" s="1">
        <f>Originial!U48</f>
        <v>33.130000000000003</v>
      </c>
      <c r="Q37" s="1">
        <f>Originial!V48</f>
        <v>23.79</v>
      </c>
      <c r="R37" s="1">
        <f>Originial!AE48</f>
        <v>1.7000000000000001E-2</v>
      </c>
      <c r="S37" s="1">
        <f>Originial!AO48</f>
        <v>0.25</v>
      </c>
      <c r="T37" s="1">
        <f>Originial!AP48</f>
        <v>0.17</v>
      </c>
      <c r="U37" s="1">
        <f>Originial!AQ48</f>
        <v>0.09</v>
      </c>
      <c r="V37" s="1">
        <f>Originial!AT48</f>
        <v>12.35</v>
      </c>
      <c r="W37" s="1">
        <f>Originial!AU48</f>
        <v>12.92</v>
      </c>
      <c r="X37" s="1">
        <f>Originial!AV48</f>
        <v>9.61</v>
      </c>
      <c r="Y37" s="1">
        <f>Originial!AY48</f>
        <v>31.29</v>
      </c>
      <c r="Z37" s="1">
        <f>Originial!AZ48</f>
        <v>20.55</v>
      </c>
      <c r="AA37" s="1">
        <f>Originial!BA48</f>
        <v>20.34</v>
      </c>
      <c r="AB37">
        <f>GHG!B53</f>
        <v>2.6914777000000001E-2</v>
      </c>
      <c r="AC37">
        <f>GHG!C53</f>
        <v>2.5706768000000001E-2</v>
      </c>
      <c r="AD37">
        <f>GHG!D53</f>
        <v>3.3554617000000002E-2</v>
      </c>
      <c r="AE37">
        <f>GHG!E53</f>
        <v>2.9965821E-2</v>
      </c>
      <c r="AF37">
        <f>GHG!F53</f>
        <v>1.417027E-2</v>
      </c>
      <c r="AG37">
        <f>GHG!AB53</f>
        <v>20.906934660000001</v>
      </c>
      <c r="AH37">
        <f>GHG!AC53</f>
        <v>29.14204462</v>
      </c>
      <c r="AI37">
        <f>GHG!AD53</f>
        <v>29.142045</v>
      </c>
      <c r="AJ37">
        <f>GHG!AE53</f>
        <v>29.142045</v>
      </c>
      <c r="AK37">
        <f>GHG!AF53</f>
        <v>24.77231403</v>
      </c>
      <c r="AL37">
        <f>GHG!AG53</f>
        <v>24.772314000000001</v>
      </c>
      <c r="AM37">
        <f>GHG!AH53</f>
        <v>24.772314000000001</v>
      </c>
      <c r="AN37">
        <f>GHG!AI53</f>
        <v>29.283446210000001</v>
      </c>
      <c r="AO37">
        <f>GHG!AJ53</f>
        <v>28.77813093</v>
      </c>
      <c r="AP37">
        <f>GHG!B53</f>
        <v>2.6914777000000001E-2</v>
      </c>
      <c r="AQ37">
        <f>GHG!C53</f>
        <v>2.5706768000000001E-2</v>
      </c>
      <c r="AR37">
        <f>GHG!D53</f>
        <v>3.3554617000000002E-2</v>
      </c>
      <c r="AS37">
        <f>GHG!E53</f>
        <v>2.9965821E-2</v>
      </c>
      <c r="AT37">
        <f>GHG!F53</f>
        <v>1.417027E-2</v>
      </c>
      <c r="AU37">
        <f>GHG!AB117</f>
        <v>1.1896978000000001E-2</v>
      </c>
      <c r="AV37">
        <f>GHG!AC117</f>
        <v>7.138187E-2</v>
      </c>
      <c r="AW37">
        <f>GHG!AD117</f>
        <v>7.1381899999999998E-2</v>
      </c>
      <c r="AX37">
        <f>GHG!AE117</f>
        <v>7.1381899999999998E-2</v>
      </c>
      <c r="AY37">
        <f>GHG!AF117</f>
        <v>7.138187E-2</v>
      </c>
      <c r="AZ37">
        <f>GHG!AG117</f>
        <v>7.1381899999999998E-2</v>
      </c>
      <c r="BA37">
        <f>GHG!AH117</f>
        <v>7.1381899999999998E-2</v>
      </c>
      <c r="BB37">
        <f>GHG!AI117</f>
        <v>7.138187E-2</v>
      </c>
      <c r="BC37">
        <f>GHG!AJ117</f>
        <v>7.138187E-2</v>
      </c>
      <c r="BD37">
        <f>GHG!B181</f>
        <v>2.480229E-3</v>
      </c>
      <c r="BE37">
        <f>GHG!C181</f>
        <v>2.2492419999999998E-3</v>
      </c>
      <c r="BF37">
        <f>GHG!D181</f>
        <v>3.045056E-3</v>
      </c>
      <c r="BG37">
        <f>GHG!E181</f>
        <v>2.71828E-3</v>
      </c>
      <c r="BH37">
        <f>GHG!F181</f>
        <v>1.314623E-3</v>
      </c>
      <c r="BI37">
        <f>GHG!AB181</f>
        <v>5.4127180000000004E-3</v>
      </c>
      <c r="BJ37">
        <f>GHG!AC181</f>
        <v>1.6238155000000001E-2</v>
      </c>
      <c r="BK37">
        <f>GHG!AD181</f>
        <v>1.6238200000000001E-2</v>
      </c>
      <c r="BL37">
        <f>GHG!AE181</f>
        <v>1.6238200000000001E-2</v>
      </c>
      <c r="BM37">
        <f>GHG!AF181</f>
        <v>1.6238155000000001E-2</v>
      </c>
      <c r="BN37">
        <f>GHG!AG181</f>
        <v>1.6238200000000001E-2</v>
      </c>
      <c r="BO37">
        <f>GHG!AH181</f>
        <v>1.6238200000000001E-2</v>
      </c>
      <c r="BP37">
        <f>GHG!AI181</f>
        <v>1.6238155000000001E-2</v>
      </c>
      <c r="BQ37">
        <f>GHG!AJ181</f>
        <v>1.6238155000000001E-2</v>
      </c>
    </row>
    <row r="38" spans="1:69" x14ac:dyDescent="0.25">
      <c r="A38">
        <v>30</v>
      </c>
      <c r="B38" s="1">
        <f>Originial!B49</f>
        <v>0.08</v>
      </c>
      <c r="C38" s="1">
        <f>Originial!C49</f>
        <v>0.06</v>
      </c>
      <c r="D38" s="1">
        <f>Originial!D49</f>
        <v>0.08</v>
      </c>
      <c r="E38" s="1">
        <f>Originial!E49</f>
        <v>0.06</v>
      </c>
      <c r="F38" s="1">
        <f>Originial!F49</f>
        <v>0.05</v>
      </c>
      <c r="G38" s="1">
        <f>Originial!H49</f>
        <v>81.709999999999994</v>
      </c>
      <c r="H38" s="1">
        <f>Originial!J49</f>
        <v>17.100000000000001</v>
      </c>
      <c r="I38" s="1">
        <f>Originial!N49</f>
        <v>4.68</v>
      </c>
      <c r="J38" s="1">
        <f>Originial!O49</f>
        <v>31.29</v>
      </c>
      <c r="K38" s="1">
        <f>Originial!P49</f>
        <v>20.55</v>
      </c>
      <c r="L38" s="1">
        <f>Originial!Q49</f>
        <v>20.34</v>
      </c>
      <c r="M38" s="1">
        <f>Originial!R49</f>
        <v>33.229999999999997</v>
      </c>
      <c r="N38" s="1">
        <f>Originial!S49</f>
        <v>29.95</v>
      </c>
      <c r="O38" s="1">
        <f>Originial!T49</f>
        <v>33.93</v>
      </c>
      <c r="P38" s="1">
        <f>Originial!U49</f>
        <v>33.130000000000003</v>
      </c>
      <c r="Q38" s="1">
        <f>Originial!V49</f>
        <v>23.79</v>
      </c>
      <c r="R38" s="1">
        <f>Originial!AE49</f>
        <v>1.7000000000000001E-2</v>
      </c>
      <c r="S38" s="1">
        <f>Originial!AO49</f>
        <v>0.25</v>
      </c>
      <c r="T38" s="1">
        <f>Originial!AP49</f>
        <v>0.17</v>
      </c>
      <c r="U38" s="1">
        <f>Originial!AQ49</f>
        <v>0.09</v>
      </c>
      <c r="V38" s="1">
        <f>Originial!AT49</f>
        <v>12.35</v>
      </c>
      <c r="W38" s="1">
        <f>Originial!AU49</f>
        <v>12.92</v>
      </c>
      <c r="X38" s="1">
        <f>Originial!AV49</f>
        <v>9.61</v>
      </c>
      <c r="Y38" s="1">
        <f>Originial!AY49</f>
        <v>31.29</v>
      </c>
      <c r="Z38" s="1">
        <f>Originial!AZ49</f>
        <v>20.55</v>
      </c>
      <c r="AA38" s="1">
        <f>Originial!BA49</f>
        <v>20.34</v>
      </c>
      <c r="AB38">
        <f>GHG!B54</f>
        <v>2.6914777000000001E-2</v>
      </c>
      <c r="AC38">
        <f>GHG!C54</f>
        <v>2.5706768000000001E-2</v>
      </c>
      <c r="AD38">
        <f>GHG!D54</f>
        <v>3.3554617000000002E-2</v>
      </c>
      <c r="AE38">
        <f>GHG!E54</f>
        <v>2.9965821E-2</v>
      </c>
      <c r="AF38">
        <f>GHG!F54</f>
        <v>1.417027E-2</v>
      </c>
      <c r="AG38">
        <f>GHG!AB54</f>
        <v>20.906934660000001</v>
      </c>
      <c r="AH38">
        <f>GHG!AC54</f>
        <v>29.14204462</v>
      </c>
      <c r="AI38">
        <f>GHG!AD54</f>
        <v>29.142045</v>
      </c>
      <c r="AJ38">
        <f>GHG!AE54</f>
        <v>29.142045</v>
      </c>
      <c r="AK38">
        <f>GHG!AF54</f>
        <v>24.77231403</v>
      </c>
      <c r="AL38">
        <f>GHG!AG54</f>
        <v>24.772314000000001</v>
      </c>
      <c r="AM38">
        <f>GHG!AH54</f>
        <v>24.772314000000001</v>
      </c>
      <c r="AN38">
        <f>GHG!AI54</f>
        <v>29.283446210000001</v>
      </c>
      <c r="AO38">
        <f>GHG!AJ54</f>
        <v>28.77813093</v>
      </c>
      <c r="AP38">
        <f>GHG!B54</f>
        <v>2.6914777000000001E-2</v>
      </c>
      <c r="AQ38">
        <f>GHG!C54</f>
        <v>2.5706768000000001E-2</v>
      </c>
      <c r="AR38">
        <f>GHG!D54</f>
        <v>3.3554617000000002E-2</v>
      </c>
      <c r="AS38">
        <f>GHG!E54</f>
        <v>2.9965821E-2</v>
      </c>
      <c r="AT38">
        <f>GHG!F54</f>
        <v>1.417027E-2</v>
      </c>
      <c r="AU38">
        <f>GHG!AB118</f>
        <v>1.1896978000000001E-2</v>
      </c>
      <c r="AV38">
        <f>GHG!AC118</f>
        <v>7.138187E-2</v>
      </c>
      <c r="AW38">
        <f>GHG!AD118</f>
        <v>7.1381899999999998E-2</v>
      </c>
      <c r="AX38">
        <f>GHG!AE118</f>
        <v>7.1381899999999998E-2</v>
      </c>
      <c r="AY38">
        <f>GHG!AF118</f>
        <v>7.138187E-2</v>
      </c>
      <c r="AZ38">
        <f>GHG!AG118</f>
        <v>7.1381899999999998E-2</v>
      </c>
      <c r="BA38">
        <f>GHG!AH118</f>
        <v>7.1381899999999998E-2</v>
      </c>
      <c r="BB38">
        <f>GHG!AI118</f>
        <v>7.138187E-2</v>
      </c>
      <c r="BC38">
        <f>GHG!AJ118</f>
        <v>7.138187E-2</v>
      </c>
      <c r="BD38">
        <f>GHG!B182</f>
        <v>2.480229E-3</v>
      </c>
      <c r="BE38">
        <f>GHG!C182</f>
        <v>2.2492419999999998E-3</v>
      </c>
      <c r="BF38">
        <f>GHG!D182</f>
        <v>3.045056E-3</v>
      </c>
      <c r="BG38">
        <f>GHG!E182</f>
        <v>2.71828E-3</v>
      </c>
      <c r="BH38">
        <f>GHG!F182</f>
        <v>1.314623E-3</v>
      </c>
      <c r="BI38">
        <f>GHG!AB182</f>
        <v>5.4127180000000004E-3</v>
      </c>
      <c r="BJ38">
        <f>GHG!AC182</f>
        <v>1.6238155000000001E-2</v>
      </c>
      <c r="BK38">
        <f>GHG!AD182</f>
        <v>1.6238200000000001E-2</v>
      </c>
      <c r="BL38">
        <f>GHG!AE182</f>
        <v>1.6238200000000001E-2</v>
      </c>
      <c r="BM38">
        <f>GHG!AF182</f>
        <v>1.6238155000000001E-2</v>
      </c>
      <c r="BN38">
        <f>GHG!AG182</f>
        <v>1.6238200000000001E-2</v>
      </c>
      <c r="BO38">
        <f>GHG!AH182</f>
        <v>1.6238200000000001E-2</v>
      </c>
      <c r="BP38">
        <f>GHG!AI182</f>
        <v>1.6238155000000001E-2</v>
      </c>
      <c r="BQ38">
        <f>GHG!AJ182</f>
        <v>1.6238155000000001E-2</v>
      </c>
    </row>
    <row r="39" spans="1:69" x14ac:dyDescent="0.25">
      <c r="A39">
        <v>31</v>
      </c>
      <c r="B39" s="1">
        <f>Originial!B50</f>
        <v>0.08</v>
      </c>
      <c r="C39" s="1">
        <f>Originial!C50</f>
        <v>0.06</v>
      </c>
      <c r="D39" s="1">
        <f>Originial!D50</f>
        <v>0.08</v>
      </c>
      <c r="E39" s="1">
        <f>Originial!E50</f>
        <v>0.06</v>
      </c>
      <c r="F39" s="1">
        <f>Originial!F50</f>
        <v>0.05</v>
      </c>
      <c r="G39" s="1">
        <f>Originial!H50</f>
        <v>81.709999999999994</v>
      </c>
      <c r="H39" s="1">
        <f>Originial!J50</f>
        <v>17.100000000000001</v>
      </c>
      <c r="I39" s="1">
        <f>Originial!N50</f>
        <v>4.68</v>
      </c>
      <c r="J39" s="1">
        <f>Originial!O50</f>
        <v>31.29</v>
      </c>
      <c r="K39" s="1">
        <f>Originial!P50</f>
        <v>20.55</v>
      </c>
      <c r="L39" s="1">
        <f>Originial!Q50</f>
        <v>20.34</v>
      </c>
      <c r="M39" s="1">
        <f>Originial!R50</f>
        <v>33.229999999999997</v>
      </c>
      <c r="N39" s="1">
        <f>Originial!S50</f>
        <v>29.95</v>
      </c>
      <c r="O39" s="1">
        <f>Originial!T50</f>
        <v>33.93</v>
      </c>
      <c r="P39" s="1">
        <f>Originial!U50</f>
        <v>33.130000000000003</v>
      </c>
      <c r="Q39" s="1">
        <f>Originial!V50</f>
        <v>23.79</v>
      </c>
      <c r="R39" s="1">
        <f>Originial!AE50</f>
        <v>1.7000000000000001E-2</v>
      </c>
      <c r="S39" s="1">
        <f>Originial!AO50</f>
        <v>0.25</v>
      </c>
      <c r="T39" s="1">
        <f>Originial!AP50</f>
        <v>0.17</v>
      </c>
      <c r="U39" s="1">
        <f>Originial!AQ50</f>
        <v>0.09</v>
      </c>
      <c r="V39" s="1">
        <f>Originial!AT50</f>
        <v>12.35</v>
      </c>
      <c r="W39" s="1">
        <f>Originial!AU50</f>
        <v>12.92</v>
      </c>
      <c r="X39" s="1">
        <f>Originial!AV50</f>
        <v>9.61</v>
      </c>
      <c r="Y39" s="1">
        <f>Originial!AY50</f>
        <v>31.29</v>
      </c>
      <c r="Z39" s="1">
        <f>Originial!AZ50</f>
        <v>20.55</v>
      </c>
      <c r="AA39" s="1">
        <f>Originial!BA50</f>
        <v>20.34</v>
      </c>
      <c r="AB39">
        <f>GHG!B55</f>
        <v>2.6914777000000001E-2</v>
      </c>
      <c r="AC39">
        <f>GHG!C55</f>
        <v>2.5706768000000001E-2</v>
      </c>
      <c r="AD39">
        <f>GHG!D55</f>
        <v>3.3554617000000002E-2</v>
      </c>
      <c r="AE39">
        <f>GHG!E55</f>
        <v>2.9965821E-2</v>
      </c>
      <c r="AF39">
        <f>GHG!F55</f>
        <v>1.417027E-2</v>
      </c>
      <c r="AG39">
        <f>GHG!AB55</f>
        <v>20.906934660000001</v>
      </c>
      <c r="AH39">
        <f>GHG!AC55</f>
        <v>29.14204462</v>
      </c>
      <c r="AI39">
        <f>GHG!AD55</f>
        <v>29.142045</v>
      </c>
      <c r="AJ39">
        <f>GHG!AE55</f>
        <v>29.142045</v>
      </c>
      <c r="AK39">
        <f>GHG!AF55</f>
        <v>24.77231403</v>
      </c>
      <c r="AL39">
        <f>GHG!AG55</f>
        <v>24.772314000000001</v>
      </c>
      <c r="AM39">
        <f>GHG!AH55</f>
        <v>24.772314000000001</v>
      </c>
      <c r="AN39">
        <f>GHG!AI55</f>
        <v>29.283446210000001</v>
      </c>
      <c r="AO39">
        <f>GHG!AJ55</f>
        <v>28.77813093</v>
      </c>
      <c r="AP39">
        <f>GHG!B55</f>
        <v>2.6914777000000001E-2</v>
      </c>
      <c r="AQ39">
        <f>GHG!C55</f>
        <v>2.5706768000000001E-2</v>
      </c>
      <c r="AR39">
        <f>GHG!D55</f>
        <v>3.3554617000000002E-2</v>
      </c>
      <c r="AS39">
        <f>GHG!E55</f>
        <v>2.9965821E-2</v>
      </c>
      <c r="AT39">
        <f>GHG!F55</f>
        <v>1.417027E-2</v>
      </c>
      <c r="AU39">
        <f>GHG!AB119</f>
        <v>1.1896978000000001E-2</v>
      </c>
      <c r="AV39">
        <f>GHG!AC119</f>
        <v>7.138187E-2</v>
      </c>
      <c r="AW39">
        <f>GHG!AD119</f>
        <v>7.1381899999999998E-2</v>
      </c>
      <c r="AX39">
        <f>GHG!AE119</f>
        <v>7.1381899999999998E-2</v>
      </c>
      <c r="AY39">
        <f>GHG!AF119</f>
        <v>7.138187E-2</v>
      </c>
      <c r="AZ39">
        <f>GHG!AG119</f>
        <v>7.1381899999999998E-2</v>
      </c>
      <c r="BA39">
        <f>GHG!AH119</f>
        <v>7.1381899999999998E-2</v>
      </c>
      <c r="BB39">
        <f>GHG!AI119</f>
        <v>7.138187E-2</v>
      </c>
      <c r="BC39">
        <f>GHG!AJ119</f>
        <v>7.138187E-2</v>
      </c>
      <c r="BD39">
        <f>GHG!B183</f>
        <v>2.480229E-3</v>
      </c>
      <c r="BE39">
        <f>GHG!C183</f>
        <v>2.2492419999999998E-3</v>
      </c>
      <c r="BF39">
        <f>GHG!D183</f>
        <v>3.045056E-3</v>
      </c>
      <c r="BG39">
        <f>GHG!E183</f>
        <v>2.71828E-3</v>
      </c>
      <c r="BH39">
        <f>GHG!F183</f>
        <v>1.314623E-3</v>
      </c>
      <c r="BI39">
        <f>GHG!AB183</f>
        <v>5.4127180000000004E-3</v>
      </c>
      <c r="BJ39">
        <f>GHG!AC183</f>
        <v>1.6238155000000001E-2</v>
      </c>
      <c r="BK39">
        <f>GHG!AD183</f>
        <v>1.6238200000000001E-2</v>
      </c>
      <c r="BL39">
        <f>GHG!AE183</f>
        <v>1.6238200000000001E-2</v>
      </c>
      <c r="BM39">
        <f>GHG!AF183</f>
        <v>1.6238155000000001E-2</v>
      </c>
      <c r="BN39">
        <f>GHG!AG183</f>
        <v>1.6238200000000001E-2</v>
      </c>
      <c r="BO39">
        <f>GHG!AH183</f>
        <v>1.6238200000000001E-2</v>
      </c>
      <c r="BP39">
        <f>GHG!AI183</f>
        <v>1.6238155000000001E-2</v>
      </c>
      <c r="BQ39">
        <f>GHG!AJ183</f>
        <v>1.6238155000000001E-2</v>
      </c>
    </row>
    <row r="40" spans="1:69" x14ac:dyDescent="0.25">
      <c r="A40">
        <v>32</v>
      </c>
      <c r="B40" s="1">
        <f>Originial!B51</f>
        <v>0.08</v>
      </c>
      <c r="C40" s="1">
        <f>Originial!C51</f>
        <v>0.06</v>
      </c>
      <c r="D40" s="1">
        <f>Originial!D51</f>
        <v>0.08</v>
      </c>
      <c r="E40" s="1">
        <f>Originial!E51</f>
        <v>0.06</v>
      </c>
      <c r="F40" s="1">
        <f>Originial!F51</f>
        <v>0.05</v>
      </c>
      <c r="G40" s="1">
        <f>Originial!H51</f>
        <v>81.709999999999994</v>
      </c>
      <c r="H40" s="1">
        <f>Originial!J51</f>
        <v>17.100000000000001</v>
      </c>
      <c r="I40" s="1">
        <f>Originial!N51</f>
        <v>4.68</v>
      </c>
      <c r="J40" s="1">
        <f>Originial!O51</f>
        <v>31.29</v>
      </c>
      <c r="K40" s="1">
        <f>Originial!P51</f>
        <v>20.55</v>
      </c>
      <c r="L40" s="1">
        <f>Originial!Q51</f>
        <v>20.34</v>
      </c>
      <c r="M40" s="1">
        <f>Originial!R51</f>
        <v>33.229999999999997</v>
      </c>
      <c r="N40" s="1">
        <f>Originial!S51</f>
        <v>29.95</v>
      </c>
      <c r="O40" s="1">
        <f>Originial!T51</f>
        <v>33.93</v>
      </c>
      <c r="P40" s="1">
        <f>Originial!U51</f>
        <v>33.130000000000003</v>
      </c>
      <c r="Q40" s="1">
        <f>Originial!V51</f>
        <v>23.79</v>
      </c>
      <c r="R40" s="1">
        <f>Originial!AE51</f>
        <v>1.7000000000000001E-2</v>
      </c>
      <c r="S40" s="1">
        <f>Originial!AO51</f>
        <v>0.25</v>
      </c>
      <c r="T40" s="1">
        <f>Originial!AP51</f>
        <v>0.17</v>
      </c>
      <c r="U40" s="1">
        <f>Originial!AQ51</f>
        <v>0.09</v>
      </c>
      <c r="V40" s="1">
        <f>Originial!AT51</f>
        <v>12.35</v>
      </c>
      <c r="W40" s="1">
        <f>Originial!AU51</f>
        <v>12.92</v>
      </c>
      <c r="X40" s="1">
        <f>Originial!AV51</f>
        <v>9.61</v>
      </c>
      <c r="Y40" s="1">
        <f>Originial!AY51</f>
        <v>31.29</v>
      </c>
      <c r="Z40" s="1">
        <f>Originial!AZ51</f>
        <v>20.55</v>
      </c>
      <c r="AA40" s="1">
        <f>Originial!BA51</f>
        <v>20.34</v>
      </c>
      <c r="AB40">
        <f>GHG!B56</f>
        <v>2.6914777000000001E-2</v>
      </c>
      <c r="AC40">
        <f>GHG!C56</f>
        <v>2.5706768000000001E-2</v>
      </c>
      <c r="AD40">
        <f>GHG!D56</f>
        <v>3.3554617000000002E-2</v>
      </c>
      <c r="AE40">
        <f>GHG!E56</f>
        <v>2.9965821E-2</v>
      </c>
      <c r="AF40">
        <f>GHG!F56</f>
        <v>1.417027E-2</v>
      </c>
      <c r="AG40">
        <f>GHG!AB56</f>
        <v>20.906934660000001</v>
      </c>
      <c r="AH40">
        <f>GHG!AC56</f>
        <v>29.14204462</v>
      </c>
      <c r="AI40">
        <f>GHG!AD56</f>
        <v>29.142045</v>
      </c>
      <c r="AJ40">
        <f>GHG!AE56</f>
        <v>29.142045</v>
      </c>
      <c r="AK40">
        <f>GHG!AF56</f>
        <v>24.77231403</v>
      </c>
      <c r="AL40">
        <f>GHG!AG56</f>
        <v>24.772314000000001</v>
      </c>
      <c r="AM40">
        <f>GHG!AH56</f>
        <v>24.772314000000001</v>
      </c>
      <c r="AN40">
        <f>GHG!AI56</f>
        <v>29.283446210000001</v>
      </c>
      <c r="AO40">
        <f>GHG!AJ56</f>
        <v>28.77813093</v>
      </c>
      <c r="AP40">
        <f>GHG!B56</f>
        <v>2.6914777000000001E-2</v>
      </c>
      <c r="AQ40">
        <f>GHG!C56</f>
        <v>2.5706768000000001E-2</v>
      </c>
      <c r="AR40">
        <f>GHG!D56</f>
        <v>3.3554617000000002E-2</v>
      </c>
      <c r="AS40">
        <f>GHG!E56</f>
        <v>2.9965821E-2</v>
      </c>
      <c r="AT40">
        <f>GHG!F56</f>
        <v>1.417027E-2</v>
      </c>
      <c r="AU40">
        <f>GHG!AB120</f>
        <v>1.1896978000000001E-2</v>
      </c>
      <c r="AV40">
        <f>GHG!AC120</f>
        <v>7.138187E-2</v>
      </c>
      <c r="AW40">
        <f>GHG!AD120</f>
        <v>7.1381899999999998E-2</v>
      </c>
      <c r="AX40">
        <f>GHG!AE120</f>
        <v>7.1381899999999998E-2</v>
      </c>
      <c r="AY40">
        <f>GHG!AF120</f>
        <v>7.138187E-2</v>
      </c>
      <c r="AZ40">
        <f>GHG!AG120</f>
        <v>7.1381899999999998E-2</v>
      </c>
      <c r="BA40">
        <f>GHG!AH120</f>
        <v>7.1381899999999998E-2</v>
      </c>
      <c r="BB40">
        <f>GHG!AI120</f>
        <v>7.138187E-2</v>
      </c>
      <c r="BC40">
        <f>GHG!AJ120</f>
        <v>7.138187E-2</v>
      </c>
      <c r="BD40">
        <f>GHG!B184</f>
        <v>2.480229E-3</v>
      </c>
      <c r="BE40">
        <f>GHG!C184</f>
        <v>2.2492419999999998E-3</v>
      </c>
      <c r="BF40">
        <f>GHG!D184</f>
        <v>3.045056E-3</v>
      </c>
      <c r="BG40">
        <f>GHG!E184</f>
        <v>2.71828E-3</v>
      </c>
      <c r="BH40">
        <f>GHG!F184</f>
        <v>1.314623E-3</v>
      </c>
      <c r="BI40">
        <f>GHG!AB184</f>
        <v>5.4127180000000004E-3</v>
      </c>
      <c r="BJ40">
        <f>GHG!AC184</f>
        <v>1.6238155000000001E-2</v>
      </c>
      <c r="BK40">
        <f>GHG!AD184</f>
        <v>1.6238200000000001E-2</v>
      </c>
      <c r="BL40">
        <f>GHG!AE184</f>
        <v>1.6238200000000001E-2</v>
      </c>
      <c r="BM40">
        <f>GHG!AF184</f>
        <v>1.6238155000000001E-2</v>
      </c>
      <c r="BN40">
        <f>GHG!AG184</f>
        <v>1.6238200000000001E-2</v>
      </c>
      <c r="BO40">
        <f>GHG!AH184</f>
        <v>1.6238200000000001E-2</v>
      </c>
      <c r="BP40">
        <f>GHG!AI184</f>
        <v>1.6238155000000001E-2</v>
      </c>
      <c r="BQ40">
        <f>GHG!AJ184</f>
        <v>1.6238155000000001E-2</v>
      </c>
    </row>
    <row r="41" spans="1:69" x14ac:dyDescent="0.25">
      <c r="A41">
        <v>33</v>
      </c>
      <c r="B41" s="1">
        <f>Originial!B52</f>
        <v>0.08</v>
      </c>
      <c r="C41" s="1">
        <f>Originial!C52</f>
        <v>0.06</v>
      </c>
      <c r="D41" s="1">
        <f>Originial!D52</f>
        <v>0.08</v>
      </c>
      <c r="E41" s="1">
        <f>Originial!E52</f>
        <v>0.06</v>
      </c>
      <c r="F41" s="1">
        <f>Originial!F52</f>
        <v>0.05</v>
      </c>
      <c r="G41" s="1">
        <f>Originial!H52</f>
        <v>81.709999999999994</v>
      </c>
      <c r="H41" s="1">
        <f>Originial!J52</f>
        <v>17.100000000000001</v>
      </c>
      <c r="I41" s="1">
        <f>Originial!N52</f>
        <v>4.68</v>
      </c>
      <c r="J41" s="1">
        <f>Originial!O52</f>
        <v>31.29</v>
      </c>
      <c r="K41" s="1">
        <f>Originial!P52</f>
        <v>20.55</v>
      </c>
      <c r="L41" s="1">
        <f>Originial!Q52</f>
        <v>20.34</v>
      </c>
      <c r="M41" s="1">
        <f>Originial!R52</f>
        <v>33.229999999999997</v>
      </c>
      <c r="N41" s="1">
        <f>Originial!S52</f>
        <v>29.95</v>
      </c>
      <c r="O41" s="1">
        <f>Originial!T52</f>
        <v>33.93</v>
      </c>
      <c r="P41" s="1">
        <f>Originial!U52</f>
        <v>33.130000000000003</v>
      </c>
      <c r="Q41" s="1">
        <f>Originial!V52</f>
        <v>23.79</v>
      </c>
      <c r="R41" s="1">
        <f>Originial!AE52</f>
        <v>1.7000000000000001E-2</v>
      </c>
      <c r="S41" s="1">
        <f>Originial!AO52</f>
        <v>0.25</v>
      </c>
      <c r="T41" s="1">
        <f>Originial!AP52</f>
        <v>0.17</v>
      </c>
      <c r="U41" s="1">
        <f>Originial!AQ52</f>
        <v>0.09</v>
      </c>
      <c r="V41" s="1">
        <f>Originial!AT52</f>
        <v>12.35</v>
      </c>
      <c r="W41" s="1">
        <f>Originial!AU52</f>
        <v>12.92</v>
      </c>
      <c r="X41" s="1">
        <f>Originial!AV52</f>
        <v>9.61</v>
      </c>
      <c r="Y41" s="1">
        <f>Originial!AY52</f>
        <v>31.29</v>
      </c>
      <c r="Z41" s="1">
        <f>Originial!AZ52</f>
        <v>20.55</v>
      </c>
      <c r="AA41" s="1">
        <f>Originial!BA52</f>
        <v>20.34</v>
      </c>
      <c r="AB41">
        <f>GHG!B57</f>
        <v>2.6914777000000001E-2</v>
      </c>
      <c r="AC41">
        <f>GHG!C57</f>
        <v>2.5706768000000001E-2</v>
      </c>
      <c r="AD41">
        <f>GHG!D57</f>
        <v>3.3554617000000002E-2</v>
      </c>
      <c r="AE41">
        <f>GHG!E57</f>
        <v>2.9965821E-2</v>
      </c>
      <c r="AF41">
        <f>GHG!F57</f>
        <v>1.417027E-2</v>
      </c>
      <c r="AG41">
        <f>GHG!AB57</f>
        <v>20.906934660000001</v>
      </c>
      <c r="AH41">
        <f>GHG!AC57</f>
        <v>29.14204462</v>
      </c>
      <c r="AI41">
        <f>GHG!AD57</f>
        <v>29.142045</v>
      </c>
      <c r="AJ41">
        <f>GHG!AE57</f>
        <v>29.142045</v>
      </c>
      <c r="AK41">
        <f>GHG!AF57</f>
        <v>24.77231403</v>
      </c>
      <c r="AL41">
        <f>GHG!AG57</f>
        <v>24.772314000000001</v>
      </c>
      <c r="AM41">
        <f>GHG!AH57</f>
        <v>24.772314000000001</v>
      </c>
      <c r="AN41">
        <f>GHG!AI57</f>
        <v>29.283446210000001</v>
      </c>
      <c r="AO41">
        <f>GHG!AJ57</f>
        <v>28.77813093</v>
      </c>
      <c r="AP41">
        <f>GHG!B57</f>
        <v>2.6914777000000001E-2</v>
      </c>
      <c r="AQ41">
        <f>GHG!C57</f>
        <v>2.5706768000000001E-2</v>
      </c>
      <c r="AR41">
        <f>GHG!D57</f>
        <v>3.3554617000000002E-2</v>
      </c>
      <c r="AS41">
        <f>GHG!E57</f>
        <v>2.9965821E-2</v>
      </c>
      <c r="AT41">
        <f>GHG!F57</f>
        <v>1.417027E-2</v>
      </c>
      <c r="AU41">
        <f>GHG!AB121</f>
        <v>1.1896978000000001E-2</v>
      </c>
      <c r="AV41">
        <f>GHG!AC121</f>
        <v>7.138187E-2</v>
      </c>
      <c r="AW41">
        <f>GHG!AD121</f>
        <v>7.1381899999999998E-2</v>
      </c>
      <c r="AX41">
        <f>GHG!AE121</f>
        <v>7.1381899999999998E-2</v>
      </c>
      <c r="AY41">
        <f>GHG!AF121</f>
        <v>7.138187E-2</v>
      </c>
      <c r="AZ41">
        <f>GHG!AG121</f>
        <v>7.1381899999999998E-2</v>
      </c>
      <c r="BA41">
        <f>GHG!AH121</f>
        <v>7.1381899999999998E-2</v>
      </c>
      <c r="BB41">
        <f>GHG!AI121</f>
        <v>7.138187E-2</v>
      </c>
      <c r="BC41">
        <f>GHG!AJ121</f>
        <v>7.138187E-2</v>
      </c>
      <c r="BD41">
        <f>GHG!B185</f>
        <v>2.480229E-3</v>
      </c>
      <c r="BE41">
        <f>GHG!C185</f>
        <v>2.2492419999999998E-3</v>
      </c>
      <c r="BF41">
        <f>GHG!D185</f>
        <v>3.045056E-3</v>
      </c>
      <c r="BG41">
        <f>GHG!E185</f>
        <v>2.71828E-3</v>
      </c>
      <c r="BH41">
        <f>GHG!F185</f>
        <v>1.314623E-3</v>
      </c>
      <c r="BI41">
        <f>GHG!AB185</f>
        <v>5.4127180000000004E-3</v>
      </c>
      <c r="BJ41">
        <f>GHG!AC185</f>
        <v>1.6238155000000001E-2</v>
      </c>
      <c r="BK41">
        <f>GHG!AD185</f>
        <v>1.6238200000000001E-2</v>
      </c>
      <c r="BL41">
        <f>GHG!AE185</f>
        <v>1.6238200000000001E-2</v>
      </c>
      <c r="BM41">
        <f>GHG!AF185</f>
        <v>1.6238155000000001E-2</v>
      </c>
      <c r="BN41">
        <f>GHG!AG185</f>
        <v>1.6238200000000001E-2</v>
      </c>
      <c r="BO41">
        <f>GHG!AH185</f>
        <v>1.6238200000000001E-2</v>
      </c>
      <c r="BP41">
        <f>GHG!AI185</f>
        <v>1.6238155000000001E-2</v>
      </c>
      <c r="BQ41">
        <f>GHG!AJ185</f>
        <v>1.6238155000000001E-2</v>
      </c>
    </row>
    <row r="42" spans="1:69" x14ac:dyDescent="0.25">
      <c r="A42">
        <v>34</v>
      </c>
      <c r="B42" s="1">
        <f>Originial!B53</f>
        <v>0.08</v>
      </c>
      <c r="C42" s="1">
        <f>Originial!C53</f>
        <v>0.06</v>
      </c>
      <c r="D42" s="1">
        <f>Originial!D53</f>
        <v>0.08</v>
      </c>
      <c r="E42" s="1">
        <f>Originial!E53</f>
        <v>0.06</v>
      </c>
      <c r="F42" s="1">
        <f>Originial!F53</f>
        <v>0.05</v>
      </c>
      <c r="G42" s="1">
        <f>Originial!H53</f>
        <v>81.709999999999994</v>
      </c>
      <c r="H42" s="1">
        <f>Originial!J53</f>
        <v>17.100000000000001</v>
      </c>
      <c r="I42" s="1">
        <f>Originial!N53</f>
        <v>4.68</v>
      </c>
      <c r="J42" s="1">
        <f>Originial!O53</f>
        <v>31.29</v>
      </c>
      <c r="K42" s="1">
        <f>Originial!P53</f>
        <v>20.55</v>
      </c>
      <c r="L42" s="1">
        <f>Originial!Q53</f>
        <v>20.34</v>
      </c>
      <c r="M42" s="1">
        <f>Originial!R53</f>
        <v>33.229999999999997</v>
      </c>
      <c r="N42" s="1">
        <f>Originial!S53</f>
        <v>29.95</v>
      </c>
      <c r="O42" s="1">
        <f>Originial!T53</f>
        <v>33.93</v>
      </c>
      <c r="P42" s="1">
        <f>Originial!U53</f>
        <v>33.130000000000003</v>
      </c>
      <c r="Q42" s="1">
        <f>Originial!V53</f>
        <v>23.79</v>
      </c>
      <c r="R42" s="1">
        <f>Originial!AE53</f>
        <v>1.7000000000000001E-2</v>
      </c>
      <c r="S42" s="1">
        <f>Originial!AO53</f>
        <v>0.25</v>
      </c>
      <c r="T42" s="1">
        <f>Originial!AP53</f>
        <v>0.17</v>
      </c>
      <c r="U42" s="1">
        <f>Originial!AQ53</f>
        <v>0.09</v>
      </c>
      <c r="V42" s="1">
        <f>Originial!AT53</f>
        <v>12.35</v>
      </c>
      <c r="W42" s="1">
        <f>Originial!AU53</f>
        <v>12.92</v>
      </c>
      <c r="X42" s="1">
        <f>Originial!AV53</f>
        <v>9.61</v>
      </c>
      <c r="Y42" s="1">
        <f>Originial!AY53</f>
        <v>31.29</v>
      </c>
      <c r="Z42" s="1">
        <f>Originial!AZ53</f>
        <v>20.55</v>
      </c>
      <c r="AA42" s="1">
        <f>Originial!BA53</f>
        <v>20.34</v>
      </c>
      <c r="AB42">
        <f>GHG!B58</f>
        <v>2.6914777000000001E-2</v>
      </c>
      <c r="AC42">
        <f>GHG!C58</f>
        <v>2.5706768000000001E-2</v>
      </c>
      <c r="AD42">
        <f>GHG!D58</f>
        <v>3.3554617000000002E-2</v>
      </c>
      <c r="AE42">
        <f>GHG!E58</f>
        <v>2.9965821E-2</v>
      </c>
      <c r="AF42">
        <f>GHG!F58</f>
        <v>1.417027E-2</v>
      </c>
      <c r="AG42">
        <f>GHG!AB58</f>
        <v>20.906934660000001</v>
      </c>
      <c r="AH42">
        <f>GHG!AC58</f>
        <v>29.14204462</v>
      </c>
      <c r="AI42">
        <f>GHG!AD58</f>
        <v>29.142045</v>
      </c>
      <c r="AJ42">
        <f>GHG!AE58</f>
        <v>29.142045</v>
      </c>
      <c r="AK42">
        <f>GHG!AF58</f>
        <v>24.77231403</v>
      </c>
      <c r="AL42">
        <f>GHG!AG58</f>
        <v>24.772314000000001</v>
      </c>
      <c r="AM42">
        <f>GHG!AH58</f>
        <v>24.772314000000001</v>
      </c>
      <c r="AN42">
        <f>GHG!AI58</f>
        <v>29.283446210000001</v>
      </c>
      <c r="AO42">
        <f>GHG!AJ58</f>
        <v>28.77813093</v>
      </c>
      <c r="AP42">
        <f>GHG!B58</f>
        <v>2.6914777000000001E-2</v>
      </c>
      <c r="AQ42">
        <f>GHG!C58</f>
        <v>2.5706768000000001E-2</v>
      </c>
      <c r="AR42">
        <f>GHG!D58</f>
        <v>3.3554617000000002E-2</v>
      </c>
      <c r="AS42">
        <f>GHG!E58</f>
        <v>2.9965821E-2</v>
      </c>
      <c r="AT42">
        <f>GHG!F58</f>
        <v>1.417027E-2</v>
      </c>
      <c r="AU42">
        <f>GHG!AB122</f>
        <v>1.1896978000000001E-2</v>
      </c>
      <c r="AV42">
        <f>GHG!AC122</f>
        <v>7.138187E-2</v>
      </c>
      <c r="AW42">
        <f>GHG!AD122</f>
        <v>7.1381899999999998E-2</v>
      </c>
      <c r="AX42">
        <f>GHG!AE122</f>
        <v>7.1381899999999998E-2</v>
      </c>
      <c r="AY42">
        <f>GHG!AF122</f>
        <v>7.138187E-2</v>
      </c>
      <c r="AZ42">
        <f>GHG!AG122</f>
        <v>7.1381899999999998E-2</v>
      </c>
      <c r="BA42">
        <f>GHG!AH122</f>
        <v>7.1381899999999998E-2</v>
      </c>
      <c r="BB42">
        <f>GHG!AI122</f>
        <v>7.138187E-2</v>
      </c>
      <c r="BC42">
        <f>GHG!AJ122</f>
        <v>7.138187E-2</v>
      </c>
      <c r="BD42">
        <f>GHG!B186</f>
        <v>2.480229E-3</v>
      </c>
      <c r="BE42">
        <f>GHG!C186</f>
        <v>2.2492419999999998E-3</v>
      </c>
      <c r="BF42">
        <f>GHG!D186</f>
        <v>3.045056E-3</v>
      </c>
      <c r="BG42">
        <f>GHG!E186</f>
        <v>2.71828E-3</v>
      </c>
      <c r="BH42">
        <f>GHG!F186</f>
        <v>1.314623E-3</v>
      </c>
      <c r="BI42">
        <f>GHG!AB186</f>
        <v>5.4127180000000004E-3</v>
      </c>
      <c r="BJ42">
        <f>GHG!AC186</f>
        <v>1.6238155000000001E-2</v>
      </c>
      <c r="BK42">
        <f>GHG!AD186</f>
        <v>1.6238200000000001E-2</v>
      </c>
      <c r="BL42">
        <f>GHG!AE186</f>
        <v>1.6238200000000001E-2</v>
      </c>
      <c r="BM42">
        <f>GHG!AF186</f>
        <v>1.6238155000000001E-2</v>
      </c>
      <c r="BN42">
        <f>GHG!AG186</f>
        <v>1.6238200000000001E-2</v>
      </c>
      <c r="BO42">
        <f>GHG!AH186</f>
        <v>1.6238200000000001E-2</v>
      </c>
      <c r="BP42">
        <f>GHG!AI186</f>
        <v>1.6238155000000001E-2</v>
      </c>
      <c r="BQ42">
        <f>GHG!AJ186</f>
        <v>1.6238155000000001E-2</v>
      </c>
    </row>
    <row r="43" spans="1:69" x14ac:dyDescent="0.25">
      <c r="A43">
        <v>35</v>
      </c>
      <c r="B43" s="1">
        <f>Originial!B54</f>
        <v>0.08</v>
      </c>
      <c r="C43" s="1">
        <f>Originial!C54</f>
        <v>0.06</v>
      </c>
      <c r="D43" s="1">
        <f>Originial!D54</f>
        <v>0.08</v>
      </c>
      <c r="E43" s="1">
        <f>Originial!E54</f>
        <v>0.06</v>
      </c>
      <c r="F43" s="1">
        <f>Originial!F54</f>
        <v>0.05</v>
      </c>
      <c r="G43" s="1">
        <f>Originial!H54</f>
        <v>81.709999999999994</v>
      </c>
      <c r="H43" s="1">
        <f>Originial!J54</f>
        <v>17.100000000000001</v>
      </c>
      <c r="I43" s="1">
        <f>Originial!N54</f>
        <v>4.68</v>
      </c>
      <c r="J43" s="1">
        <f>Originial!O54</f>
        <v>31.29</v>
      </c>
      <c r="K43" s="1">
        <f>Originial!P54</f>
        <v>20.55</v>
      </c>
      <c r="L43" s="1">
        <f>Originial!Q54</f>
        <v>20.34</v>
      </c>
      <c r="M43" s="1">
        <f>Originial!R54</f>
        <v>33.229999999999997</v>
      </c>
      <c r="N43" s="1">
        <f>Originial!S54</f>
        <v>29.95</v>
      </c>
      <c r="O43" s="1">
        <f>Originial!T54</f>
        <v>33.93</v>
      </c>
      <c r="P43" s="1">
        <f>Originial!U54</f>
        <v>33.130000000000003</v>
      </c>
      <c r="Q43" s="1">
        <f>Originial!V54</f>
        <v>23.79</v>
      </c>
      <c r="R43" s="1">
        <f>Originial!AE54</f>
        <v>1.7000000000000001E-2</v>
      </c>
      <c r="S43" s="1">
        <f>Originial!AO54</f>
        <v>0.25</v>
      </c>
      <c r="T43" s="1">
        <f>Originial!AP54</f>
        <v>0.17</v>
      </c>
      <c r="U43" s="1">
        <f>Originial!AQ54</f>
        <v>0.09</v>
      </c>
      <c r="V43" s="1">
        <f>Originial!AT54</f>
        <v>12.35</v>
      </c>
      <c r="W43" s="1">
        <f>Originial!AU54</f>
        <v>12.92</v>
      </c>
      <c r="X43" s="1">
        <f>Originial!AV54</f>
        <v>9.61</v>
      </c>
      <c r="Y43" s="1">
        <f>Originial!AY54</f>
        <v>31.29</v>
      </c>
      <c r="Z43" s="1">
        <f>Originial!AZ54</f>
        <v>20.55</v>
      </c>
      <c r="AA43" s="1">
        <f>Originial!BA54</f>
        <v>20.34</v>
      </c>
      <c r="AB43">
        <f>GHG!B59</f>
        <v>2.6914777000000001E-2</v>
      </c>
      <c r="AC43">
        <f>GHG!C59</f>
        <v>2.5706768000000001E-2</v>
      </c>
      <c r="AD43">
        <f>GHG!D59</f>
        <v>3.3554617000000002E-2</v>
      </c>
      <c r="AE43">
        <f>GHG!E59</f>
        <v>2.9965821E-2</v>
      </c>
      <c r="AF43">
        <f>GHG!F59</f>
        <v>1.417027E-2</v>
      </c>
      <c r="AG43">
        <f>GHG!AB59</f>
        <v>20.906934660000001</v>
      </c>
      <c r="AH43">
        <f>GHG!AC59</f>
        <v>29.14204462</v>
      </c>
      <c r="AI43">
        <f>GHG!AD59</f>
        <v>29.142045</v>
      </c>
      <c r="AJ43">
        <f>GHG!AE59</f>
        <v>29.142045</v>
      </c>
      <c r="AK43">
        <f>GHG!AF59</f>
        <v>24.77231403</v>
      </c>
      <c r="AL43">
        <f>GHG!AG59</f>
        <v>24.772314000000001</v>
      </c>
      <c r="AM43">
        <f>GHG!AH59</f>
        <v>24.772314000000001</v>
      </c>
      <c r="AN43">
        <f>GHG!AI59</f>
        <v>29.283446210000001</v>
      </c>
      <c r="AO43">
        <f>GHG!AJ59</f>
        <v>28.77813093</v>
      </c>
      <c r="AP43">
        <f>GHG!B59</f>
        <v>2.6914777000000001E-2</v>
      </c>
      <c r="AQ43">
        <f>GHG!C59</f>
        <v>2.5706768000000001E-2</v>
      </c>
      <c r="AR43">
        <f>GHG!D59</f>
        <v>3.3554617000000002E-2</v>
      </c>
      <c r="AS43">
        <f>GHG!E59</f>
        <v>2.9965821E-2</v>
      </c>
      <c r="AT43">
        <f>GHG!F59</f>
        <v>1.417027E-2</v>
      </c>
      <c r="AU43">
        <f>GHG!AB123</f>
        <v>1.1896978000000001E-2</v>
      </c>
      <c r="AV43">
        <f>GHG!AC123</f>
        <v>7.138187E-2</v>
      </c>
      <c r="AW43">
        <f>GHG!AD123</f>
        <v>7.1381899999999998E-2</v>
      </c>
      <c r="AX43">
        <f>GHG!AE123</f>
        <v>7.1381899999999998E-2</v>
      </c>
      <c r="AY43">
        <f>GHG!AF123</f>
        <v>7.138187E-2</v>
      </c>
      <c r="AZ43">
        <f>GHG!AG123</f>
        <v>7.1381899999999998E-2</v>
      </c>
      <c r="BA43">
        <f>GHG!AH123</f>
        <v>7.1381899999999998E-2</v>
      </c>
      <c r="BB43">
        <f>GHG!AI123</f>
        <v>7.138187E-2</v>
      </c>
      <c r="BC43">
        <f>GHG!AJ123</f>
        <v>7.138187E-2</v>
      </c>
      <c r="BD43">
        <f>GHG!B187</f>
        <v>2.480229E-3</v>
      </c>
      <c r="BE43">
        <f>GHG!C187</f>
        <v>2.2492419999999998E-3</v>
      </c>
      <c r="BF43">
        <f>GHG!D187</f>
        <v>3.045056E-3</v>
      </c>
      <c r="BG43">
        <f>GHG!E187</f>
        <v>2.71828E-3</v>
      </c>
      <c r="BH43">
        <f>GHG!F187</f>
        <v>1.314623E-3</v>
      </c>
      <c r="BI43">
        <f>GHG!AB187</f>
        <v>5.4127180000000004E-3</v>
      </c>
      <c r="BJ43">
        <f>GHG!AC187</f>
        <v>1.6238155000000001E-2</v>
      </c>
      <c r="BK43">
        <f>GHG!AD187</f>
        <v>1.6238200000000001E-2</v>
      </c>
      <c r="BL43">
        <f>GHG!AE187</f>
        <v>1.6238200000000001E-2</v>
      </c>
      <c r="BM43">
        <f>GHG!AF187</f>
        <v>1.6238155000000001E-2</v>
      </c>
      <c r="BN43">
        <f>GHG!AG187</f>
        <v>1.6238200000000001E-2</v>
      </c>
      <c r="BO43">
        <f>GHG!AH187</f>
        <v>1.6238200000000001E-2</v>
      </c>
      <c r="BP43">
        <f>GHG!AI187</f>
        <v>1.6238155000000001E-2</v>
      </c>
      <c r="BQ43">
        <f>GHG!AJ187</f>
        <v>1.6238155000000001E-2</v>
      </c>
    </row>
    <row r="44" spans="1:69" x14ac:dyDescent="0.25">
      <c r="A44">
        <v>36</v>
      </c>
      <c r="B44" s="1">
        <f>Originial!B55</f>
        <v>0.08</v>
      </c>
      <c r="C44" s="1">
        <f>Originial!C55</f>
        <v>0.06</v>
      </c>
      <c r="D44" s="1">
        <f>Originial!D55</f>
        <v>0.08</v>
      </c>
      <c r="E44" s="1">
        <f>Originial!E55</f>
        <v>0.06</v>
      </c>
      <c r="F44" s="1">
        <f>Originial!F55</f>
        <v>0.05</v>
      </c>
      <c r="G44" s="1">
        <f>Originial!H55</f>
        <v>81.709999999999994</v>
      </c>
      <c r="H44" s="1">
        <f>Originial!J55</f>
        <v>17.100000000000001</v>
      </c>
      <c r="I44" s="1">
        <f>Originial!N55</f>
        <v>4.68</v>
      </c>
      <c r="J44" s="1">
        <f>Originial!O55</f>
        <v>31.29</v>
      </c>
      <c r="K44" s="1">
        <f>Originial!P55</f>
        <v>20.55</v>
      </c>
      <c r="L44" s="1">
        <f>Originial!Q55</f>
        <v>20.34</v>
      </c>
      <c r="M44" s="1">
        <f>Originial!R55</f>
        <v>33.229999999999997</v>
      </c>
      <c r="N44" s="1">
        <f>Originial!S55</f>
        <v>29.95</v>
      </c>
      <c r="O44" s="1">
        <f>Originial!T55</f>
        <v>33.93</v>
      </c>
      <c r="P44" s="1">
        <f>Originial!U55</f>
        <v>33.130000000000003</v>
      </c>
      <c r="Q44" s="1">
        <f>Originial!V55</f>
        <v>23.79</v>
      </c>
      <c r="R44" s="1">
        <f>Originial!AE55</f>
        <v>1.7000000000000001E-2</v>
      </c>
      <c r="S44" s="1">
        <f>Originial!AO55</f>
        <v>0.25</v>
      </c>
      <c r="T44" s="1">
        <f>Originial!AP55</f>
        <v>0.17</v>
      </c>
      <c r="U44" s="1">
        <f>Originial!AQ55</f>
        <v>0.09</v>
      </c>
      <c r="V44" s="1">
        <f>Originial!AT55</f>
        <v>12.35</v>
      </c>
      <c r="W44" s="1">
        <f>Originial!AU55</f>
        <v>12.92</v>
      </c>
      <c r="X44" s="1">
        <f>Originial!AV55</f>
        <v>9.61</v>
      </c>
      <c r="Y44" s="1">
        <f>Originial!AY55</f>
        <v>31.29</v>
      </c>
      <c r="Z44" s="1">
        <f>Originial!AZ55</f>
        <v>20.55</v>
      </c>
      <c r="AA44" s="1">
        <f>Originial!BA55</f>
        <v>20.34</v>
      </c>
      <c r="AB44">
        <f>GHG!B60</f>
        <v>2.6914777000000001E-2</v>
      </c>
      <c r="AC44">
        <f>GHG!C60</f>
        <v>2.5706768000000001E-2</v>
      </c>
      <c r="AD44">
        <f>GHG!D60</f>
        <v>3.3554617000000002E-2</v>
      </c>
      <c r="AE44">
        <f>GHG!E60</f>
        <v>2.9965821E-2</v>
      </c>
      <c r="AF44">
        <f>GHG!F60</f>
        <v>1.417027E-2</v>
      </c>
      <c r="AG44">
        <f>GHG!AB60</f>
        <v>20.906934660000001</v>
      </c>
      <c r="AH44">
        <f>GHG!AC60</f>
        <v>29.14204462</v>
      </c>
      <c r="AI44">
        <f>GHG!AD60</f>
        <v>29.142045</v>
      </c>
      <c r="AJ44">
        <f>GHG!AE60</f>
        <v>29.142045</v>
      </c>
      <c r="AK44">
        <f>GHG!AF60</f>
        <v>24.77231403</v>
      </c>
      <c r="AL44">
        <f>GHG!AG60</f>
        <v>24.772314000000001</v>
      </c>
      <c r="AM44">
        <f>GHG!AH60</f>
        <v>24.772314000000001</v>
      </c>
      <c r="AN44">
        <f>GHG!AI60</f>
        <v>29.283446210000001</v>
      </c>
      <c r="AO44">
        <f>GHG!AJ60</f>
        <v>28.77813093</v>
      </c>
      <c r="AP44">
        <f>GHG!B60</f>
        <v>2.6914777000000001E-2</v>
      </c>
      <c r="AQ44">
        <f>GHG!C60</f>
        <v>2.5706768000000001E-2</v>
      </c>
      <c r="AR44">
        <f>GHG!D60</f>
        <v>3.3554617000000002E-2</v>
      </c>
      <c r="AS44">
        <f>GHG!E60</f>
        <v>2.9965821E-2</v>
      </c>
      <c r="AT44">
        <f>GHG!F60</f>
        <v>1.417027E-2</v>
      </c>
      <c r="AU44">
        <f>GHG!AB124</f>
        <v>1.1896978000000001E-2</v>
      </c>
      <c r="AV44">
        <f>GHG!AC124</f>
        <v>7.138187E-2</v>
      </c>
      <c r="AW44">
        <f>GHG!AD124</f>
        <v>7.1381899999999998E-2</v>
      </c>
      <c r="AX44">
        <f>GHG!AE124</f>
        <v>7.1381899999999998E-2</v>
      </c>
      <c r="AY44">
        <f>GHG!AF124</f>
        <v>7.138187E-2</v>
      </c>
      <c r="AZ44">
        <f>GHG!AG124</f>
        <v>7.1381899999999998E-2</v>
      </c>
      <c r="BA44">
        <f>GHG!AH124</f>
        <v>7.1381899999999998E-2</v>
      </c>
      <c r="BB44">
        <f>GHG!AI124</f>
        <v>7.138187E-2</v>
      </c>
      <c r="BC44">
        <f>GHG!AJ124</f>
        <v>7.138187E-2</v>
      </c>
      <c r="BD44">
        <f>GHG!B188</f>
        <v>2.480229E-3</v>
      </c>
      <c r="BE44">
        <f>GHG!C188</f>
        <v>2.2492419999999998E-3</v>
      </c>
      <c r="BF44">
        <f>GHG!D188</f>
        <v>3.045056E-3</v>
      </c>
      <c r="BG44">
        <f>GHG!E188</f>
        <v>2.71828E-3</v>
      </c>
      <c r="BH44">
        <f>GHG!F188</f>
        <v>1.314623E-3</v>
      </c>
      <c r="BI44">
        <f>GHG!AB188</f>
        <v>5.4127180000000004E-3</v>
      </c>
      <c r="BJ44">
        <f>GHG!AC188</f>
        <v>1.6238155000000001E-2</v>
      </c>
      <c r="BK44">
        <f>GHG!AD188</f>
        <v>1.6238200000000001E-2</v>
      </c>
      <c r="BL44">
        <f>GHG!AE188</f>
        <v>1.6238200000000001E-2</v>
      </c>
      <c r="BM44">
        <f>GHG!AF188</f>
        <v>1.6238155000000001E-2</v>
      </c>
      <c r="BN44">
        <f>GHG!AG188</f>
        <v>1.6238200000000001E-2</v>
      </c>
      <c r="BO44">
        <f>GHG!AH188</f>
        <v>1.6238200000000001E-2</v>
      </c>
      <c r="BP44">
        <f>GHG!AI188</f>
        <v>1.6238155000000001E-2</v>
      </c>
      <c r="BQ44">
        <f>GHG!AJ188</f>
        <v>1.6238155000000001E-2</v>
      </c>
    </row>
    <row r="45" spans="1:69" x14ac:dyDescent="0.25">
      <c r="A45">
        <v>37</v>
      </c>
      <c r="B45" s="1">
        <f>Originial!B56</f>
        <v>0.08</v>
      </c>
      <c r="C45" s="1">
        <f>Originial!C56</f>
        <v>0.06</v>
      </c>
      <c r="D45" s="1">
        <f>Originial!D56</f>
        <v>0.08</v>
      </c>
      <c r="E45" s="1">
        <f>Originial!E56</f>
        <v>0.06</v>
      </c>
      <c r="F45" s="1">
        <f>Originial!F56</f>
        <v>0.05</v>
      </c>
      <c r="G45" s="1">
        <f>Originial!H56</f>
        <v>81.709999999999994</v>
      </c>
      <c r="H45" s="1">
        <f>Originial!J56</f>
        <v>17.100000000000001</v>
      </c>
      <c r="I45" s="1">
        <f>Originial!N56</f>
        <v>4.68</v>
      </c>
      <c r="J45" s="1">
        <f>Originial!O56</f>
        <v>31.29</v>
      </c>
      <c r="K45" s="1">
        <f>Originial!P56</f>
        <v>20.55</v>
      </c>
      <c r="L45" s="1">
        <f>Originial!Q56</f>
        <v>20.34</v>
      </c>
      <c r="M45" s="1">
        <f>Originial!R56</f>
        <v>33.229999999999997</v>
      </c>
      <c r="N45" s="1">
        <f>Originial!S56</f>
        <v>29.95</v>
      </c>
      <c r="O45" s="1">
        <f>Originial!T56</f>
        <v>33.93</v>
      </c>
      <c r="P45" s="1">
        <f>Originial!U56</f>
        <v>33.130000000000003</v>
      </c>
      <c r="Q45" s="1">
        <f>Originial!V56</f>
        <v>23.79</v>
      </c>
      <c r="R45" s="1">
        <f>Originial!AE56</f>
        <v>1.7000000000000001E-2</v>
      </c>
      <c r="S45" s="1">
        <f>Originial!AO56</f>
        <v>0.25</v>
      </c>
      <c r="T45" s="1">
        <f>Originial!AP56</f>
        <v>0.17</v>
      </c>
      <c r="U45" s="1">
        <f>Originial!AQ56</f>
        <v>0.09</v>
      </c>
      <c r="V45" s="1">
        <f>Originial!AT56</f>
        <v>12.35</v>
      </c>
      <c r="W45" s="1">
        <f>Originial!AU56</f>
        <v>12.92</v>
      </c>
      <c r="X45" s="1">
        <f>Originial!AV56</f>
        <v>9.61</v>
      </c>
      <c r="Y45" s="1">
        <f>Originial!AY56</f>
        <v>31.29</v>
      </c>
      <c r="Z45" s="1">
        <f>Originial!AZ56</f>
        <v>20.55</v>
      </c>
      <c r="AA45" s="1">
        <f>Originial!BA56</f>
        <v>20.34</v>
      </c>
      <c r="AB45">
        <f>GHG!B61</f>
        <v>2.6914777000000001E-2</v>
      </c>
      <c r="AC45">
        <f>GHG!C61</f>
        <v>2.5706768000000001E-2</v>
      </c>
      <c r="AD45">
        <f>GHG!D61</f>
        <v>3.3554617000000002E-2</v>
      </c>
      <c r="AE45">
        <f>GHG!E61</f>
        <v>2.9965821E-2</v>
      </c>
      <c r="AF45">
        <f>GHG!F61</f>
        <v>1.417027E-2</v>
      </c>
      <c r="AG45">
        <f>GHG!AB61</f>
        <v>20.906934660000001</v>
      </c>
      <c r="AH45">
        <f>GHG!AC61</f>
        <v>29.14204462</v>
      </c>
      <c r="AI45">
        <f>GHG!AD61</f>
        <v>29.142045</v>
      </c>
      <c r="AJ45">
        <f>GHG!AE61</f>
        <v>29.142045</v>
      </c>
      <c r="AK45">
        <f>GHG!AF61</f>
        <v>24.77231403</v>
      </c>
      <c r="AL45">
        <f>GHG!AG61</f>
        <v>24.772314000000001</v>
      </c>
      <c r="AM45">
        <f>GHG!AH61</f>
        <v>24.772314000000001</v>
      </c>
      <c r="AN45">
        <f>GHG!AI61</f>
        <v>29.283446210000001</v>
      </c>
      <c r="AO45">
        <f>GHG!AJ61</f>
        <v>28.77813093</v>
      </c>
      <c r="AP45">
        <f>GHG!B61</f>
        <v>2.6914777000000001E-2</v>
      </c>
      <c r="AQ45">
        <f>GHG!C61</f>
        <v>2.5706768000000001E-2</v>
      </c>
      <c r="AR45">
        <f>GHG!D61</f>
        <v>3.3554617000000002E-2</v>
      </c>
      <c r="AS45">
        <f>GHG!E61</f>
        <v>2.9965821E-2</v>
      </c>
      <c r="AT45">
        <f>GHG!F61</f>
        <v>1.417027E-2</v>
      </c>
      <c r="AU45">
        <f>GHG!AB125</f>
        <v>1.1896978000000001E-2</v>
      </c>
      <c r="AV45">
        <f>GHG!AC125</f>
        <v>7.138187E-2</v>
      </c>
      <c r="AW45">
        <f>GHG!AD125</f>
        <v>7.1381899999999998E-2</v>
      </c>
      <c r="AX45">
        <f>GHG!AE125</f>
        <v>7.1381899999999998E-2</v>
      </c>
      <c r="AY45">
        <f>GHG!AF125</f>
        <v>7.138187E-2</v>
      </c>
      <c r="AZ45">
        <f>GHG!AG125</f>
        <v>7.1381899999999998E-2</v>
      </c>
      <c r="BA45">
        <f>GHG!AH125</f>
        <v>7.1381899999999998E-2</v>
      </c>
      <c r="BB45">
        <f>GHG!AI125</f>
        <v>7.138187E-2</v>
      </c>
      <c r="BC45">
        <f>GHG!AJ125</f>
        <v>7.138187E-2</v>
      </c>
      <c r="BD45">
        <f>GHG!B189</f>
        <v>2.480229E-3</v>
      </c>
      <c r="BE45">
        <f>GHG!C189</f>
        <v>2.2492419999999998E-3</v>
      </c>
      <c r="BF45">
        <f>GHG!D189</f>
        <v>3.045056E-3</v>
      </c>
      <c r="BG45">
        <f>GHG!E189</f>
        <v>2.71828E-3</v>
      </c>
      <c r="BH45">
        <f>GHG!F189</f>
        <v>1.314623E-3</v>
      </c>
      <c r="BI45">
        <f>GHG!AB189</f>
        <v>5.4127180000000004E-3</v>
      </c>
      <c r="BJ45">
        <f>GHG!AC189</f>
        <v>1.6238155000000001E-2</v>
      </c>
      <c r="BK45">
        <f>GHG!AD189</f>
        <v>1.6238200000000001E-2</v>
      </c>
      <c r="BL45">
        <f>GHG!AE189</f>
        <v>1.6238200000000001E-2</v>
      </c>
      <c r="BM45">
        <f>GHG!AF189</f>
        <v>1.6238155000000001E-2</v>
      </c>
      <c r="BN45">
        <f>GHG!AG189</f>
        <v>1.6238200000000001E-2</v>
      </c>
      <c r="BO45">
        <f>GHG!AH189</f>
        <v>1.6238200000000001E-2</v>
      </c>
      <c r="BP45">
        <f>GHG!AI189</f>
        <v>1.6238155000000001E-2</v>
      </c>
      <c r="BQ45">
        <f>GHG!AJ189</f>
        <v>1.6238155000000001E-2</v>
      </c>
    </row>
    <row r="46" spans="1:69" x14ac:dyDescent="0.25">
      <c r="A46">
        <v>38</v>
      </c>
      <c r="B46" s="1">
        <f>Originial!B57</f>
        <v>0.08</v>
      </c>
      <c r="C46" s="1">
        <f>Originial!C57</f>
        <v>0.06</v>
      </c>
      <c r="D46" s="1">
        <f>Originial!D57</f>
        <v>0.08</v>
      </c>
      <c r="E46" s="1">
        <f>Originial!E57</f>
        <v>0.06</v>
      </c>
      <c r="F46" s="1">
        <f>Originial!F57</f>
        <v>0.05</v>
      </c>
      <c r="G46" s="1">
        <f>Originial!H57</f>
        <v>81.709999999999994</v>
      </c>
      <c r="H46" s="1">
        <f>Originial!J57</f>
        <v>17.100000000000001</v>
      </c>
      <c r="I46" s="1">
        <f>Originial!N57</f>
        <v>4.68</v>
      </c>
      <c r="J46" s="1">
        <f>Originial!O57</f>
        <v>31.29</v>
      </c>
      <c r="K46" s="1">
        <f>Originial!P57</f>
        <v>20.55</v>
      </c>
      <c r="L46" s="1">
        <f>Originial!Q57</f>
        <v>20.34</v>
      </c>
      <c r="M46" s="1">
        <f>Originial!R57</f>
        <v>33.229999999999997</v>
      </c>
      <c r="N46" s="1">
        <f>Originial!S57</f>
        <v>29.95</v>
      </c>
      <c r="O46" s="1">
        <f>Originial!T57</f>
        <v>33.93</v>
      </c>
      <c r="P46" s="1">
        <f>Originial!U57</f>
        <v>33.130000000000003</v>
      </c>
      <c r="Q46" s="1">
        <f>Originial!V57</f>
        <v>23.79</v>
      </c>
      <c r="R46" s="1">
        <f>Originial!AE57</f>
        <v>1.7000000000000001E-2</v>
      </c>
      <c r="S46" s="1">
        <f>Originial!AO57</f>
        <v>0.25</v>
      </c>
      <c r="T46" s="1">
        <f>Originial!AP57</f>
        <v>0.17</v>
      </c>
      <c r="U46" s="1">
        <f>Originial!AQ57</f>
        <v>0.09</v>
      </c>
      <c r="V46" s="1">
        <f>Originial!AT57</f>
        <v>12.35</v>
      </c>
      <c r="W46" s="1">
        <f>Originial!AU57</f>
        <v>12.92</v>
      </c>
      <c r="X46" s="1">
        <f>Originial!AV57</f>
        <v>9.61</v>
      </c>
      <c r="Y46" s="1">
        <f>Originial!AY57</f>
        <v>31.29</v>
      </c>
      <c r="Z46" s="1">
        <f>Originial!AZ57</f>
        <v>20.55</v>
      </c>
      <c r="AA46" s="1">
        <f>Originial!BA57</f>
        <v>20.34</v>
      </c>
      <c r="AB46">
        <f>GHG!B62</f>
        <v>2.6914777000000001E-2</v>
      </c>
      <c r="AC46">
        <f>GHG!C62</f>
        <v>2.5706768000000001E-2</v>
      </c>
      <c r="AD46">
        <f>GHG!D62</f>
        <v>3.3554617000000002E-2</v>
      </c>
      <c r="AE46">
        <f>GHG!E62</f>
        <v>2.9965821E-2</v>
      </c>
      <c r="AF46">
        <f>GHG!F62</f>
        <v>1.417027E-2</v>
      </c>
      <c r="AG46">
        <f>GHG!AB62</f>
        <v>20.906934660000001</v>
      </c>
      <c r="AH46">
        <f>GHG!AC62</f>
        <v>29.14204462</v>
      </c>
      <c r="AI46">
        <f>GHG!AD62</f>
        <v>29.142045</v>
      </c>
      <c r="AJ46">
        <f>GHG!AE62</f>
        <v>29.142045</v>
      </c>
      <c r="AK46">
        <f>GHG!AF62</f>
        <v>24.77231403</v>
      </c>
      <c r="AL46">
        <f>GHG!AG62</f>
        <v>24.772314000000001</v>
      </c>
      <c r="AM46">
        <f>GHG!AH62</f>
        <v>24.772314000000001</v>
      </c>
      <c r="AN46">
        <f>GHG!AI62</f>
        <v>29.283446210000001</v>
      </c>
      <c r="AO46">
        <f>GHG!AJ62</f>
        <v>28.77813093</v>
      </c>
      <c r="AP46">
        <f>GHG!B62</f>
        <v>2.6914777000000001E-2</v>
      </c>
      <c r="AQ46">
        <f>GHG!C62</f>
        <v>2.5706768000000001E-2</v>
      </c>
      <c r="AR46">
        <f>GHG!D62</f>
        <v>3.3554617000000002E-2</v>
      </c>
      <c r="AS46">
        <f>GHG!E62</f>
        <v>2.9965821E-2</v>
      </c>
      <c r="AT46">
        <f>GHG!F62</f>
        <v>1.417027E-2</v>
      </c>
      <c r="AU46">
        <f>GHG!AB126</f>
        <v>1.1896978000000001E-2</v>
      </c>
      <c r="AV46">
        <f>GHG!AC126</f>
        <v>7.138187E-2</v>
      </c>
      <c r="AW46">
        <f>GHG!AD126</f>
        <v>7.1381899999999998E-2</v>
      </c>
      <c r="AX46">
        <f>GHG!AE126</f>
        <v>7.1381899999999998E-2</v>
      </c>
      <c r="AY46">
        <f>GHG!AF126</f>
        <v>7.138187E-2</v>
      </c>
      <c r="AZ46">
        <f>GHG!AG126</f>
        <v>7.1381899999999998E-2</v>
      </c>
      <c r="BA46">
        <f>GHG!AH126</f>
        <v>7.1381899999999998E-2</v>
      </c>
      <c r="BB46">
        <f>GHG!AI126</f>
        <v>7.138187E-2</v>
      </c>
      <c r="BC46">
        <f>GHG!AJ126</f>
        <v>7.138187E-2</v>
      </c>
      <c r="BD46">
        <f>GHG!B190</f>
        <v>2.480229E-3</v>
      </c>
      <c r="BE46">
        <f>GHG!C190</f>
        <v>2.2492419999999998E-3</v>
      </c>
      <c r="BF46">
        <f>GHG!D190</f>
        <v>3.045056E-3</v>
      </c>
      <c r="BG46">
        <f>GHG!E190</f>
        <v>2.71828E-3</v>
      </c>
      <c r="BH46">
        <f>GHG!F190</f>
        <v>1.314623E-3</v>
      </c>
      <c r="BI46">
        <f>GHG!AB190</f>
        <v>5.4127180000000004E-3</v>
      </c>
      <c r="BJ46">
        <f>GHG!AC190</f>
        <v>1.6238155000000001E-2</v>
      </c>
      <c r="BK46">
        <f>GHG!AD190</f>
        <v>1.6238200000000001E-2</v>
      </c>
      <c r="BL46">
        <f>GHG!AE190</f>
        <v>1.6238200000000001E-2</v>
      </c>
      <c r="BM46">
        <f>GHG!AF190</f>
        <v>1.6238155000000001E-2</v>
      </c>
      <c r="BN46">
        <f>GHG!AG190</f>
        <v>1.6238200000000001E-2</v>
      </c>
      <c r="BO46">
        <f>GHG!AH190</f>
        <v>1.6238200000000001E-2</v>
      </c>
      <c r="BP46">
        <f>GHG!AI190</f>
        <v>1.6238155000000001E-2</v>
      </c>
      <c r="BQ46">
        <f>GHG!AJ190</f>
        <v>1.6238155000000001E-2</v>
      </c>
    </row>
    <row r="47" spans="1:69" x14ac:dyDescent="0.25">
      <c r="A47">
        <v>39</v>
      </c>
      <c r="B47" s="1">
        <f>Originial!B58</f>
        <v>0.08</v>
      </c>
      <c r="C47" s="1">
        <f>Originial!C58</f>
        <v>0.06</v>
      </c>
      <c r="D47" s="1">
        <f>Originial!D58</f>
        <v>0.08</v>
      </c>
      <c r="E47" s="1">
        <f>Originial!E58</f>
        <v>0.06</v>
      </c>
      <c r="F47" s="1">
        <f>Originial!F58</f>
        <v>0.05</v>
      </c>
      <c r="G47" s="1">
        <f>Originial!H58</f>
        <v>81.709999999999994</v>
      </c>
      <c r="H47" s="1">
        <f>Originial!J58</f>
        <v>17.100000000000001</v>
      </c>
      <c r="I47" s="1">
        <f>Originial!N58</f>
        <v>4.68</v>
      </c>
      <c r="J47" s="1">
        <f>Originial!O58</f>
        <v>31.29</v>
      </c>
      <c r="K47" s="1">
        <f>Originial!P58</f>
        <v>20.55</v>
      </c>
      <c r="L47" s="1">
        <f>Originial!Q58</f>
        <v>20.34</v>
      </c>
      <c r="M47" s="1">
        <f>Originial!R58</f>
        <v>33.229999999999997</v>
      </c>
      <c r="N47" s="1">
        <f>Originial!S58</f>
        <v>29.95</v>
      </c>
      <c r="O47" s="1">
        <f>Originial!T58</f>
        <v>33.93</v>
      </c>
      <c r="P47" s="1">
        <f>Originial!U58</f>
        <v>33.130000000000003</v>
      </c>
      <c r="Q47" s="1">
        <f>Originial!V58</f>
        <v>23.79</v>
      </c>
      <c r="R47" s="1">
        <f>Originial!AE58</f>
        <v>1.7000000000000001E-2</v>
      </c>
      <c r="S47" s="1">
        <f>Originial!AO58</f>
        <v>0.25</v>
      </c>
      <c r="T47" s="1">
        <f>Originial!AP58</f>
        <v>0.17</v>
      </c>
      <c r="U47" s="1">
        <f>Originial!AQ58</f>
        <v>0.09</v>
      </c>
      <c r="V47" s="1">
        <f>Originial!AT58</f>
        <v>12.35</v>
      </c>
      <c r="W47" s="1">
        <f>Originial!AU58</f>
        <v>12.92</v>
      </c>
      <c r="X47" s="1">
        <f>Originial!AV58</f>
        <v>9.61</v>
      </c>
      <c r="Y47" s="1">
        <f>Originial!AY58</f>
        <v>31.29</v>
      </c>
      <c r="Z47" s="1">
        <f>Originial!AZ58</f>
        <v>20.55</v>
      </c>
      <c r="AA47" s="1">
        <f>Originial!BA58</f>
        <v>20.34</v>
      </c>
      <c r="AB47">
        <f>GHG!B63</f>
        <v>2.6914777000000001E-2</v>
      </c>
      <c r="AC47">
        <f>GHG!C63</f>
        <v>2.5706768000000001E-2</v>
      </c>
      <c r="AD47">
        <f>GHG!D63</f>
        <v>3.3554617000000002E-2</v>
      </c>
      <c r="AE47">
        <f>GHG!E63</f>
        <v>2.9965821E-2</v>
      </c>
      <c r="AF47">
        <f>GHG!F63</f>
        <v>1.417027E-2</v>
      </c>
      <c r="AG47">
        <f>GHG!AB63</f>
        <v>20.906934660000001</v>
      </c>
      <c r="AH47">
        <f>GHG!AC63</f>
        <v>29.14204462</v>
      </c>
      <c r="AI47">
        <f>GHG!AD63</f>
        <v>29.142045</v>
      </c>
      <c r="AJ47">
        <f>GHG!AE63</f>
        <v>29.142045</v>
      </c>
      <c r="AK47">
        <f>GHG!AF63</f>
        <v>24.77231403</v>
      </c>
      <c r="AL47">
        <f>GHG!AG63</f>
        <v>24.772314000000001</v>
      </c>
      <c r="AM47">
        <f>GHG!AH63</f>
        <v>24.772314000000001</v>
      </c>
      <c r="AN47">
        <f>GHG!AI63</f>
        <v>29.283446210000001</v>
      </c>
      <c r="AO47">
        <f>GHG!AJ63</f>
        <v>28.77813093</v>
      </c>
      <c r="AP47">
        <f>GHG!B63</f>
        <v>2.6914777000000001E-2</v>
      </c>
      <c r="AQ47">
        <f>GHG!C63</f>
        <v>2.5706768000000001E-2</v>
      </c>
      <c r="AR47">
        <f>GHG!D63</f>
        <v>3.3554617000000002E-2</v>
      </c>
      <c r="AS47">
        <f>GHG!E63</f>
        <v>2.9965821E-2</v>
      </c>
      <c r="AT47">
        <f>GHG!F63</f>
        <v>1.417027E-2</v>
      </c>
      <c r="AU47">
        <f>GHG!AB127</f>
        <v>1.1896978000000001E-2</v>
      </c>
      <c r="AV47">
        <f>GHG!AC127</f>
        <v>7.138187E-2</v>
      </c>
      <c r="AW47">
        <f>GHG!AD127</f>
        <v>7.1381899999999998E-2</v>
      </c>
      <c r="AX47">
        <f>GHG!AE127</f>
        <v>7.1381899999999998E-2</v>
      </c>
      <c r="AY47">
        <f>GHG!AF127</f>
        <v>7.138187E-2</v>
      </c>
      <c r="AZ47">
        <f>GHG!AG127</f>
        <v>7.1381899999999998E-2</v>
      </c>
      <c r="BA47">
        <f>GHG!AH127</f>
        <v>7.1381899999999998E-2</v>
      </c>
      <c r="BB47">
        <f>GHG!AI127</f>
        <v>7.138187E-2</v>
      </c>
      <c r="BC47">
        <f>GHG!AJ127</f>
        <v>7.138187E-2</v>
      </c>
      <c r="BD47">
        <f>GHG!B191</f>
        <v>2.480229E-3</v>
      </c>
      <c r="BE47">
        <f>GHG!C191</f>
        <v>2.2492419999999998E-3</v>
      </c>
      <c r="BF47">
        <f>GHG!D191</f>
        <v>3.045056E-3</v>
      </c>
      <c r="BG47">
        <f>GHG!E191</f>
        <v>2.71828E-3</v>
      </c>
      <c r="BH47">
        <f>GHG!F191</f>
        <v>1.314623E-3</v>
      </c>
      <c r="BI47">
        <f>GHG!AB191</f>
        <v>5.4127180000000004E-3</v>
      </c>
      <c r="BJ47">
        <f>GHG!AC191</f>
        <v>1.6238155000000001E-2</v>
      </c>
      <c r="BK47">
        <f>GHG!AD191</f>
        <v>1.6238200000000001E-2</v>
      </c>
      <c r="BL47">
        <f>GHG!AE191</f>
        <v>1.6238200000000001E-2</v>
      </c>
      <c r="BM47">
        <f>GHG!AF191</f>
        <v>1.6238155000000001E-2</v>
      </c>
      <c r="BN47">
        <f>GHG!AG191</f>
        <v>1.6238200000000001E-2</v>
      </c>
      <c r="BO47">
        <f>GHG!AH191</f>
        <v>1.6238200000000001E-2</v>
      </c>
      <c r="BP47">
        <f>GHG!AI191</f>
        <v>1.6238155000000001E-2</v>
      </c>
      <c r="BQ47">
        <f>GHG!AJ191</f>
        <v>1.6238155000000001E-2</v>
      </c>
    </row>
    <row r="48" spans="1:69" x14ac:dyDescent="0.25">
      <c r="A48">
        <v>40</v>
      </c>
      <c r="B48" s="1">
        <f>Originial!B59</f>
        <v>0.08</v>
      </c>
      <c r="C48" s="1">
        <f>Originial!C59</f>
        <v>0.06</v>
      </c>
      <c r="D48" s="1">
        <f>Originial!D59</f>
        <v>0.08</v>
      </c>
      <c r="E48" s="1">
        <f>Originial!E59</f>
        <v>0.06</v>
      </c>
      <c r="F48" s="1">
        <f>Originial!F59</f>
        <v>0.05</v>
      </c>
      <c r="G48" s="1">
        <f>Originial!H59</f>
        <v>81.709999999999994</v>
      </c>
      <c r="H48" s="1">
        <f>Originial!J59</f>
        <v>17.100000000000001</v>
      </c>
      <c r="I48" s="1">
        <f>Originial!N59</f>
        <v>4.68</v>
      </c>
      <c r="J48" s="1">
        <f>Originial!O59</f>
        <v>31.29</v>
      </c>
      <c r="K48" s="1">
        <f>Originial!P59</f>
        <v>20.55</v>
      </c>
      <c r="L48" s="1">
        <f>Originial!Q59</f>
        <v>20.34</v>
      </c>
      <c r="M48" s="1">
        <f>Originial!R59</f>
        <v>33.229999999999997</v>
      </c>
      <c r="N48" s="1">
        <f>Originial!S59</f>
        <v>29.95</v>
      </c>
      <c r="O48" s="1">
        <f>Originial!T59</f>
        <v>33.93</v>
      </c>
      <c r="P48" s="1">
        <f>Originial!U59</f>
        <v>33.130000000000003</v>
      </c>
      <c r="Q48" s="1">
        <f>Originial!V59</f>
        <v>23.79</v>
      </c>
      <c r="R48" s="1">
        <f>Originial!AE59</f>
        <v>1.7000000000000001E-2</v>
      </c>
      <c r="S48" s="1">
        <f>Originial!AO59</f>
        <v>0.25</v>
      </c>
      <c r="T48" s="1">
        <f>Originial!AP59</f>
        <v>0.17</v>
      </c>
      <c r="U48" s="1">
        <f>Originial!AQ59</f>
        <v>0.09</v>
      </c>
      <c r="V48" s="1">
        <f>Originial!AT59</f>
        <v>12.35</v>
      </c>
      <c r="W48" s="1">
        <f>Originial!AU59</f>
        <v>12.92</v>
      </c>
      <c r="X48" s="1">
        <f>Originial!AV59</f>
        <v>9.61</v>
      </c>
      <c r="Y48" s="1">
        <f>Originial!AY59</f>
        <v>31.29</v>
      </c>
      <c r="Z48" s="1">
        <f>Originial!AZ59</f>
        <v>20.55</v>
      </c>
      <c r="AA48" s="1">
        <f>Originial!BA59</f>
        <v>20.34</v>
      </c>
      <c r="AB48">
        <f>GHG!B64</f>
        <v>2.6914777000000001E-2</v>
      </c>
      <c r="AC48">
        <f>GHG!C64</f>
        <v>2.5706768000000001E-2</v>
      </c>
      <c r="AD48">
        <f>GHG!D64</f>
        <v>3.3554617000000002E-2</v>
      </c>
      <c r="AE48">
        <f>GHG!E64</f>
        <v>2.9965821E-2</v>
      </c>
      <c r="AF48">
        <f>GHG!F64</f>
        <v>1.417027E-2</v>
      </c>
      <c r="AG48">
        <f>GHG!AB64</f>
        <v>20.906934660000001</v>
      </c>
      <c r="AH48">
        <f>GHG!AC64</f>
        <v>29.14204462</v>
      </c>
      <c r="AI48">
        <f>GHG!AD64</f>
        <v>29.142045</v>
      </c>
      <c r="AJ48">
        <f>GHG!AE64</f>
        <v>29.142045</v>
      </c>
      <c r="AK48">
        <f>GHG!AF64</f>
        <v>24.77231403</v>
      </c>
      <c r="AL48">
        <f>GHG!AG64</f>
        <v>24.772314000000001</v>
      </c>
      <c r="AM48">
        <f>GHG!AH64</f>
        <v>24.772314000000001</v>
      </c>
      <c r="AN48">
        <f>GHG!AI64</f>
        <v>29.283446210000001</v>
      </c>
      <c r="AO48">
        <f>GHG!AJ64</f>
        <v>28.77813093</v>
      </c>
      <c r="AP48">
        <f>GHG!B64</f>
        <v>2.6914777000000001E-2</v>
      </c>
      <c r="AQ48">
        <f>GHG!C64</f>
        <v>2.5706768000000001E-2</v>
      </c>
      <c r="AR48">
        <f>GHG!D64</f>
        <v>3.3554617000000002E-2</v>
      </c>
      <c r="AS48">
        <f>GHG!E64</f>
        <v>2.9965821E-2</v>
      </c>
      <c r="AT48">
        <f>GHG!F64</f>
        <v>1.417027E-2</v>
      </c>
      <c r="AU48">
        <f>GHG!AB128</f>
        <v>1.1896978000000001E-2</v>
      </c>
      <c r="AV48">
        <f>GHG!AC128</f>
        <v>7.138187E-2</v>
      </c>
      <c r="AW48">
        <f>GHG!AD128</f>
        <v>7.1381899999999998E-2</v>
      </c>
      <c r="AX48">
        <f>GHG!AE128</f>
        <v>7.1381899999999998E-2</v>
      </c>
      <c r="AY48">
        <f>GHG!AF128</f>
        <v>7.138187E-2</v>
      </c>
      <c r="AZ48">
        <f>GHG!AG128</f>
        <v>7.1381899999999998E-2</v>
      </c>
      <c r="BA48">
        <f>GHG!AH128</f>
        <v>7.1381899999999998E-2</v>
      </c>
      <c r="BB48">
        <f>GHG!AI128</f>
        <v>7.138187E-2</v>
      </c>
      <c r="BC48">
        <f>GHG!AJ128</f>
        <v>7.138187E-2</v>
      </c>
      <c r="BD48">
        <f>GHG!B192</f>
        <v>2.480229E-3</v>
      </c>
      <c r="BE48">
        <f>GHG!C192</f>
        <v>2.2492419999999998E-3</v>
      </c>
      <c r="BF48">
        <f>GHG!D192</f>
        <v>3.045056E-3</v>
      </c>
      <c r="BG48">
        <f>GHG!E192</f>
        <v>2.71828E-3</v>
      </c>
      <c r="BH48">
        <f>GHG!F192</f>
        <v>1.314623E-3</v>
      </c>
      <c r="BI48">
        <f>GHG!AB192</f>
        <v>5.4127180000000004E-3</v>
      </c>
      <c r="BJ48">
        <f>GHG!AC192</f>
        <v>1.6238155000000001E-2</v>
      </c>
      <c r="BK48">
        <f>GHG!AD192</f>
        <v>1.6238200000000001E-2</v>
      </c>
      <c r="BL48">
        <f>GHG!AE192</f>
        <v>1.6238200000000001E-2</v>
      </c>
      <c r="BM48">
        <f>GHG!AF192</f>
        <v>1.6238155000000001E-2</v>
      </c>
      <c r="BN48">
        <f>GHG!AG192</f>
        <v>1.6238200000000001E-2</v>
      </c>
      <c r="BO48">
        <f>GHG!AH192</f>
        <v>1.6238200000000001E-2</v>
      </c>
      <c r="BP48">
        <f>GHG!AI192</f>
        <v>1.6238155000000001E-2</v>
      </c>
      <c r="BQ48">
        <f>GHG!AJ192</f>
        <v>1.6238155000000001E-2</v>
      </c>
    </row>
    <row r="49" spans="1:69" x14ac:dyDescent="0.25">
      <c r="A49">
        <v>41</v>
      </c>
      <c r="B49" s="1">
        <f>Originial!B60</f>
        <v>0.08</v>
      </c>
      <c r="C49" s="1">
        <f>Originial!C60</f>
        <v>0.06</v>
      </c>
      <c r="D49" s="1">
        <f>Originial!D60</f>
        <v>0.08</v>
      </c>
      <c r="E49" s="1">
        <f>Originial!E60</f>
        <v>0.06</v>
      </c>
      <c r="F49" s="1">
        <f>Originial!F60</f>
        <v>0.05</v>
      </c>
      <c r="G49" s="1">
        <f>Originial!H60</f>
        <v>81.709999999999994</v>
      </c>
      <c r="H49" s="1">
        <f>Originial!J60</f>
        <v>17.100000000000001</v>
      </c>
      <c r="I49" s="1">
        <f>Originial!N60</f>
        <v>4.68</v>
      </c>
      <c r="J49" s="1">
        <f>Originial!O60</f>
        <v>31.29</v>
      </c>
      <c r="K49" s="1">
        <f>Originial!P60</f>
        <v>20.55</v>
      </c>
      <c r="L49" s="1">
        <f>Originial!Q60</f>
        <v>20.34</v>
      </c>
      <c r="M49" s="1">
        <f>Originial!R60</f>
        <v>33.229999999999997</v>
      </c>
      <c r="N49" s="1">
        <f>Originial!S60</f>
        <v>29.95</v>
      </c>
      <c r="O49" s="1">
        <f>Originial!T60</f>
        <v>33.93</v>
      </c>
      <c r="P49" s="1">
        <f>Originial!U60</f>
        <v>33.130000000000003</v>
      </c>
      <c r="Q49" s="1">
        <f>Originial!V60</f>
        <v>23.79</v>
      </c>
      <c r="R49" s="1">
        <f>Originial!AE60</f>
        <v>1.7000000000000001E-2</v>
      </c>
      <c r="S49" s="1">
        <f>Originial!AO60</f>
        <v>0.25</v>
      </c>
      <c r="T49" s="1">
        <f>Originial!AP60</f>
        <v>0.17</v>
      </c>
      <c r="U49" s="1">
        <f>Originial!AQ60</f>
        <v>0.09</v>
      </c>
      <c r="V49" s="1">
        <f>Originial!AT60</f>
        <v>12.35</v>
      </c>
      <c r="W49" s="1">
        <f>Originial!AU60</f>
        <v>12.92</v>
      </c>
      <c r="X49" s="1">
        <f>Originial!AV60</f>
        <v>9.61</v>
      </c>
      <c r="Y49" s="1">
        <f>Originial!AY60</f>
        <v>31.29</v>
      </c>
      <c r="Z49" s="1">
        <f>Originial!AZ60</f>
        <v>20.55</v>
      </c>
      <c r="AA49" s="1">
        <f>Originial!BA60</f>
        <v>20.34</v>
      </c>
      <c r="AB49">
        <f>GHG!B65</f>
        <v>2.6914777000000001E-2</v>
      </c>
      <c r="AC49">
        <f>GHG!C65</f>
        <v>2.5706768000000001E-2</v>
      </c>
      <c r="AD49">
        <f>GHG!D65</f>
        <v>3.3554617000000002E-2</v>
      </c>
      <c r="AE49">
        <f>GHG!E65</f>
        <v>2.9965821E-2</v>
      </c>
      <c r="AF49">
        <f>GHG!F65</f>
        <v>1.417027E-2</v>
      </c>
      <c r="AG49">
        <f>GHG!AB65</f>
        <v>20.906934660000001</v>
      </c>
      <c r="AH49">
        <f>GHG!AC65</f>
        <v>29.14204462</v>
      </c>
      <c r="AI49">
        <f>GHG!AD65</f>
        <v>29.142045</v>
      </c>
      <c r="AJ49">
        <f>GHG!AE65</f>
        <v>29.142045</v>
      </c>
      <c r="AK49">
        <f>GHG!AF65</f>
        <v>24.77231403</v>
      </c>
      <c r="AL49">
        <f>GHG!AG65</f>
        <v>24.772314000000001</v>
      </c>
      <c r="AM49">
        <f>GHG!AH65</f>
        <v>24.772314000000001</v>
      </c>
      <c r="AN49">
        <f>GHG!AI65</f>
        <v>29.283446210000001</v>
      </c>
      <c r="AO49">
        <f>GHG!AJ65</f>
        <v>28.77813093</v>
      </c>
      <c r="AP49">
        <f>GHG!B65</f>
        <v>2.6914777000000001E-2</v>
      </c>
      <c r="AQ49">
        <f>GHG!C65</f>
        <v>2.5706768000000001E-2</v>
      </c>
      <c r="AR49">
        <f>GHG!D65</f>
        <v>3.3554617000000002E-2</v>
      </c>
      <c r="AS49">
        <f>GHG!E65</f>
        <v>2.9965821E-2</v>
      </c>
      <c r="AT49">
        <f>GHG!F65</f>
        <v>1.417027E-2</v>
      </c>
      <c r="AU49">
        <f>GHG!AB129</f>
        <v>1.1896978000000001E-2</v>
      </c>
      <c r="AV49">
        <f>GHG!AC129</f>
        <v>7.138187E-2</v>
      </c>
      <c r="AW49">
        <f>GHG!AD129</f>
        <v>7.1381899999999998E-2</v>
      </c>
      <c r="AX49">
        <f>GHG!AE129</f>
        <v>7.1381899999999998E-2</v>
      </c>
      <c r="AY49">
        <f>GHG!AF129</f>
        <v>7.138187E-2</v>
      </c>
      <c r="AZ49">
        <f>GHG!AG129</f>
        <v>7.1381899999999998E-2</v>
      </c>
      <c r="BA49">
        <f>GHG!AH129</f>
        <v>7.1381899999999998E-2</v>
      </c>
      <c r="BB49">
        <f>GHG!AI129</f>
        <v>7.138187E-2</v>
      </c>
      <c r="BC49">
        <f>GHG!AJ129</f>
        <v>7.138187E-2</v>
      </c>
      <c r="BD49">
        <f>GHG!B193</f>
        <v>2.480229E-3</v>
      </c>
      <c r="BE49">
        <f>GHG!C193</f>
        <v>2.2492419999999998E-3</v>
      </c>
      <c r="BF49">
        <f>GHG!D193</f>
        <v>3.045056E-3</v>
      </c>
      <c r="BG49">
        <f>GHG!E193</f>
        <v>2.71828E-3</v>
      </c>
      <c r="BH49">
        <f>GHG!F193</f>
        <v>1.314623E-3</v>
      </c>
      <c r="BI49">
        <f>GHG!AB193</f>
        <v>5.4127180000000004E-3</v>
      </c>
      <c r="BJ49">
        <f>GHG!AC193</f>
        <v>1.6238155000000001E-2</v>
      </c>
      <c r="BK49">
        <f>GHG!AD193</f>
        <v>1.6238200000000001E-2</v>
      </c>
      <c r="BL49">
        <f>GHG!AE193</f>
        <v>1.6238200000000001E-2</v>
      </c>
      <c r="BM49">
        <f>GHG!AF193</f>
        <v>1.6238155000000001E-2</v>
      </c>
      <c r="BN49">
        <f>GHG!AG193</f>
        <v>1.6238200000000001E-2</v>
      </c>
      <c r="BO49">
        <f>GHG!AH193</f>
        <v>1.6238200000000001E-2</v>
      </c>
      <c r="BP49">
        <f>GHG!AI193</f>
        <v>1.6238155000000001E-2</v>
      </c>
      <c r="BQ49">
        <f>GHG!AJ193</f>
        <v>1.6238155000000001E-2</v>
      </c>
    </row>
    <row r="50" spans="1:69" x14ac:dyDescent="0.25">
      <c r="A50">
        <v>42</v>
      </c>
      <c r="B50" s="1">
        <f>Originial!B61</f>
        <v>0.08</v>
      </c>
      <c r="C50" s="1">
        <f>Originial!C61</f>
        <v>0.06</v>
      </c>
      <c r="D50" s="1">
        <f>Originial!D61</f>
        <v>0.08</v>
      </c>
      <c r="E50" s="1">
        <f>Originial!E61</f>
        <v>0.06</v>
      </c>
      <c r="F50" s="1">
        <f>Originial!F61</f>
        <v>0.05</v>
      </c>
      <c r="G50" s="1">
        <f>Originial!H61</f>
        <v>81.709999999999994</v>
      </c>
      <c r="H50" s="1">
        <f>Originial!J61</f>
        <v>17.100000000000001</v>
      </c>
      <c r="I50" s="1">
        <f>Originial!N61</f>
        <v>4.68</v>
      </c>
      <c r="J50" s="1">
        <f>Originial!O61</f>
        <v>31.29</v>
      </c>
      <c r="K50" s="1">
        <f>Originial!P61</f>
        <v>20.55</v>
      </c>
      <c r="L50" s="1">
        <f>Originial!Q61</f>
        <v>20.34</v>
      </c>
      <c r="M50" s="1">
        <f>Originial!R61</f>
        <v>33.229999999999997</v>
      </c>
      <c r="N50" s="1">
        <f>Originial!S61</f>
        <v>29.95</v>
      </c>
      <c r="O50" s="1">
        <f>Originial!T61</f>
        <v>33.93</v>
      </c>
      <c r="P50" s="1">
        <f>Originial!U61</f>
        <v>33.130000000000003</v>
      </c>
      <c r="Q50" s="1">
        <f>Originial!V61</f>
        <v>23.79</v>
      </c>
      <c r="R50" s="1">
        <f>Originial!AE61</f>
        <v>1.7000000000000001E-2</v>
      </c>
      <c r="S50" s="1">
        <f>Originial!AO61</f>
        <v>0.25</v>
      </c>
      <c r="T50" s="1">
        <f>Originial!AP61</f>
        <v>0.17</v>
      </c>
      <c r="U50" s="1">
        <f>Originial!AQ61</f>
        <v>0.09</v>
      </c>
      <c r="V50" s="1">
        <f>Originial!AT61</f>
        <v>12.35</v>
      </c>
      <c r="W50" s="1">
        <f>Originial!AU61</f>
        <v>12.92</v>
      </c>
      <c r="X50" s="1">
        <f>Originial!AV61</f>
        <v>9.61</v>
      </c>
      <c r="Y50" s="1">
        <f>Originial!AY61</f>
        <v>31.29</v>
      </c>
      <c r="Z50" s="1">
        <f>Originial!AZ61</f>
        <v>20.55</v>
      </c>
      <c r="AA50" s="1">
        <f>Originial!BA61</f>
        <v>20.34</v>
      </c>
      <c r="AB50">
        <f>GHG!B66</f>
        <v>2.6914777000000001E-2</v>
      </c>
      <c r="AC50">
        <f>GHG!C66</f>
        <v>2.5706768000000001E-2</v>
      </c>
      <c r="AD50">
        <f>GHG!D66</f>
        <v>3.3554617000000002E-2</v>
      </c>
      <c r="AE50">
        <f>GHG!E66</f>
        <v>2.9965821E-2</v>
      </c>
      <c r="AF50">
        <f>GHG!F66</f>
        <v>1.417027E-2</v>
      </c>
      <c r="AG50">
        <f>GHG!AB66</f>
        <v>20.906934660000001</v>
      </c>
      <c r="AH50">
        <f>GHG!AC66</f>
        <v>29.14204462</v>
      </c>
      <c r="AI50">
        <f>GHG!AD66</f>
        <v>29.142045</v>
      </c>
      <c r="AJ50">
        <f>GHG!AE66</f>
        <v>29.142045</v>
      </c>
      <c r="AK50">
        <f>GHG!AF66</f>
        <v>24.77231403</v>
      </c>
      <c r="AL50">
        <f>GHG!AG66</f>
        <v>24.772314000000001</v>
      </c>
      <c r="AM50">
        <f>GHG!AH66</f>
        <v>24.772314000000001</v>
      </c>
      <c r="AN50">
        <f>GHG!AI66</f>
        <v>29.283446210000001</v>
      </c>
      <c r="AO50">
        <f>GHG!AJ66</f>
        <v>28.77813093</v>
      </c>
      <c r="AP50">
        <f>GHG!B66</f>
        <v>2.6914777000000001E-2</v>
      </c>
      <c r="AQ50">
        <f>GHG!C66</f>
        <v>2.5706768000000001E-2</v>
      </c>
      <c r="AR50">
        <f>GHG!D66</f>
        <v>3.3554617000000002E-2</v>
      </c>
      <c r="AS50">
        <f>GHG!E66</f>
        <v>2.9965821E-2</v>
      </c>
      <c r="AT50">
        <f>GHG!F66</f>
        <v>1.417027E-2</v>
      </c>
      <c r="AU50">
        <f>GHG!AB130</f>
        <v>1.1896978000000001E-2</v>
      </c>
      <c r="AV50">
        <f>GHG!AC130</f>
        <v>7.138187E-2</v>
      </c>
      <c r="AW50">
        <f>GHG!AD130</f>
        <v>7.1381899999999998E-2</v>
      </c>
      <c r="AX50">
        <f>GHG!AE130</f>
        <v>7.1381899999999998E-2</v>
      </c>
      <c r="AY50">
        <f>GHG!AF130</f>
        <v>7.138187E-2</v>
      </c>
      <c r="AZ50">
        <f>GHG!AG130</f>
        <v>7.1381899999999998E-2</v>
      </c>
      <c r="BA50">
        <f>GHG!AH130</f>
        <v>7.1381899999999998E-2</v>
      </c>
      <c r="BB50">
        <f>GHG!AI130</f>
        <v>7.138187E-2</v>
      </c>
      <c r="BC50">
        <f>GHG!AJ130</f>
        <v>7.138187E-2</v>
      </c>
      <c r="BD50">
        <f>GHG!B194</f>
        <v>2.480229E-3</v>
      </c>
      <c r="BE50">
        <f>GHG!C194</f>
        <v>2.2492419999999998E-3</v>
      </c>
      <c r="BF50">
        <f>GHG!D194</f>
        <v>3.045056E-3</v>
      </c>
      <c r="BG50">
        <f>GHG!E194</f>
        <v>2.71828E-3</v>
      </c>
      <c r="BH50">
        <f>GHG!F194</f>
        <v>1.314623E-3</v>
      </c>
      <c r="BI50">
        <f>GHG!AB194</f>
        <v>5.4127180000000004E-3</v>
      </c>
      <c r="BJ50">
        <f>GHG!AC194</f>
        <v>1.6238155000000001E-2</v>
      </c>
      <c r="BK50">
        <f>GHG!AD194</f>
        <v>1.6238200000000001E-2</v>
      </c>
      <c r="BL50">
        <f>GHG!AE194</f>
        <v>1.6238200000000001E-2</v>
      </c>
      <c r="BM50">
        <f>GHG!AF194</f>
        <v>1.6238155000000001E-2</v>
      </c>
      <c r="BN50">
        <f>GHG!AG194</f>
        <v>1.6238200000000001E-2</v>
      </c>
      <c r="BO50">
        <f>GHG!AH194</f>
        <v>1.6238200000000001E-2</v>
      </c>
      <c r="BP50">
        <f>GHG!AI194</f>
        <v>1.6238155000000001E-2</v>
      </c>
      <c r="BQ50">
        <f>GHG!AJ194</f>
        <v>1.6238155000000001E-2</v>
      </c>
    </row>
    <row r="51" spans="1:69" x14ac:dyDescent="0.25">
      <c r="A51">
        <v>43</v>
      </c>
      <c r="B51" s="1">
        <f>Originial!B62</f>
        <v>0.08</v>
      </c>
      <c r="C51" s="1">
        <f>Originial!C62</f>
        <v>0.06</v>
      </c>
      <c r="D51" s="1">
        <f>Originial!D62</f>
        <v>0.08</v>
      </c>
      <c r="E51" s="1">
        <f>Originial!E62</f>
        <v>0.06</v>
      </c>
      <c r="F51" s="1">
        <f>Originial!F62</f>
        <v>0.05</v>
      </c>
      <c r="G51" s="1">
        <f>Originial!H62</f>
        <v>81.709999999999994</v>
      </c>
      <c r="H51" s="1">
        <f>Originial!J62</f>
        <v>17.100000000000001</v>
      </c>
      <c r="I51" s="1">
        <f>Originial!N62</f>
        <v>4.68</v>
      </c>
      <c r="J51" s="1">
        <f>Originial!O62</f>
        <v>31.29</v>
      </c>
      <c r="K51" s="1">
        <f>Originial!P62</f>
        <v>20.55</v>
      </c>
      <c r="L51" s="1">
        <f>Originial!Q62</f>
        <v>20.34</v>
      </c>
      <c r="M51" s="1">
        <f>Originial!R62</f>
        <v>33.229999999999997</v>
      </c>
      <c r="N51" s="1">
        <f>Originial!S62</f>
        <v>29.95</v>
      </c>
      <c r="O51" s="1">
        <f>Originial!T62</f>
        <v>33.93</v>
      </c>
      <c r="P51" s="1">
        <f>Originial!U62</f>
        <v>33.130000000000003</v>
      </c>
      <c r="Q51" s="1">
        <f>Originial!V62</f>
        <v>23.79</v>
      </c>
      <c r="R51" s="1">
        <f>Originial!AE62</f>
        <v>1.7000000000000001E-2</v>
      </c>
      <c r="S51" s="1">
        <f>Originial!AO62</f>
        <v>0.25</v>
      </c>
      <c r="T51" s="1">
        <f>Originial!AP62</f>
        <v>0.17</v>
      </c>
      <c r="U51" s="1">
        <f>Originial!AQ62</f>
        <v>0.09</v>
      </c>
      <c r="V51" s="1">
        <f>Originial!AT62</f>
        <v>12.35</v>
      </c>
      <c r="W51" s="1">
        <f>Originial!AU62</f>
        <v>12.92</v>
      </c>
      <c r="X51" s="1">
        <f>Originial!AV62</f>
        <v>9.61</v>
      </c>
      <c r="Y51" s="1">
        <f>Originial!AY62</f>
        <v>31.29</v>
      </c>
      <c r="Z51" s="1">
        <f>Originial!AZ62</f>
        <v>20.55</v>
      </c>
      <c r="AA51" s="1">
        <f>Originial!BA62</f>
        <v>20.34</v>
      </c>
      <c r="AB51">
        <f>GHG!B67</f>
        <v>2.6914777000000001E-2</v>
      </c>
      <c r="AC51">
        <f>GHG!C67</f>
        <v>2.5706768000000001E-2</v>
      </c>
      <c r="AD51">
        <f>GHG!D67</f>
        <v>3.3554617000000002E-2</v>
      </c>
      <c r="AE51">
        <f>GHG!E67</f>
        <v>2.9965821E-2</v>
      </c>
      <c r="AF51">
        <f>GHG!F67</f>
        <v>1.417027E-2</v>
      </c>
      <c r="AG51">
        <f>GHG!AB67</f>
        <v>20.906934660000001</v>
      </c>
      <c r="AH51">
        <f>GHG!AC67</f>
        <v>29.14204462</v>
      </c>
      <c r="AI51">
        <f>GHG!AD67</f>
        <v>29.142045</v>
      </c>
      <c r="AJ51">
        <f>GHG!AE67</f>
        <v>29.142045</v>
      </c>
      <c r="AK51">
        <f>GHG!AF67</f>
        <v>24.77231403</v>
      </c>
      <c r="AL51">
        <f>GHG!AG67</f>
        <v>24.772314000000001</v>
      </c>
      <c r="AM51">
        <f>GHG!AH67</f>
        <v>24.772314000000001</v>
      </c>
      <c r="AN51">
        <f>GHG!AI67</f>
        <v>29.283446210000001</v>
      </c>
      <c r="AO51">
        <f>GHG!AJ67</f>
        <v>28.77813093</v>
      </c>
      <c r="AP51">
        <f>GHG!B67</f>
        <v>2.6914777000000001E-2</v>
      </c>
      <c r="AQ51">
        <f>GHG!C67</f>
        <v>2.5706768000000001E-2</v>
      </c>
      <c r="AR51">
        <f>GHG!D67</f>
        <v>3.3554617000000002E-2</v>
      </c>
      <c r="AS51">
        <f>GHG!E67</f>
        <v>2.9965821E-2</v>
      </c>
      <c r="AT51">
        <f>GHG!F67</f>
        <v>1.417027E-2</v>
      </c>
      <c r="AU51">
        <f>GHG!AB131</f>
        <v>1.1896978000000001E-2</v>
      </c>
      <c r="AV51">
        <f>GHG!AC131</f>
        <v>7.138187E-2</v>
      </c>
      <c r="AW51">
        <f>GHG!AD131</f>
        <v>7.1381899999999998E-2</v>
      </c>
      <c r="AX51">
        <f>GHG!AE131</f>
        <v>7.1381899999999998E-2</v>
      </c>
      <c r="AY51">
        <f>GHG!AF131</f>
        <v>7.138187E-2</v>
      </c>
      <c r="AZ51">
        <f>GHG!AG131</f>
        <v>7.1381899999999998E-2</v>
      </c>
      <c r="BA51">
        <f>GHG!AH131</f>
        <v>7.1381899999999998E-2</v>
      </c>
      <c r="BB51">
        <f>GHG!AI131</f>
        <v>7.138187E-2</v>
      </c>
      <c r="BC51">
        <f>GHG!AJ131</f>
        <v>7.138187E-2</v>
      </c>
      <c r="BD51">
        <f>GHG!B195</f>
        <v>2.480229E-3</v>
      </c>
      <c r="BE51">
        <f>GHG!C195</f>
        <v>2.2492419999999998E-3</v>
      </c>
      <c r="BF51">
        <f>GHG!D195</f>
        <v>3.045056E-3</v>
      </c>
      <c r="BG51">
        <f>GHG!E195</f>
        <v>2.71828E-3</v>
      </c>
      <c r="BH51">
        <f>GHG!F195</f>
        <v>1.314623E-3</v>
      </c>
      <c r="BI51">
        <f>GHG!AB195</f>
        <v>5.4127180000000004E-3</v>
      </c>
      <c r="BJ51">
        <f>GHG!AC195</f>
        <v>1.6238155000000001E-2</v>
      </c>
      <c r="BK51">
        <f>GHG!AD195</f>
        <v>1.6238200000000001E-2</v>
      </c>
      <c r="BL51">
        <f>GHG!AE195</f>
        <v>1.6238200000000001E-2</v>
      </c>
      <c r="BM51">
        <f>GHG!AF195</f>
        <v>1.6238155000000001E-2</v>
      </c>
      <c r="BN51">
        <f>GHG!AG195</f>
        <v>1.6238200000000001E-2</v>
      </c>
      <c r="BO51">
        <f>GHG!AH195</f>
        <v>1.6238200000000001E-2</v>
      </c>
      <c r="BP51">
        <f>GHG!AI195</f>
        <v>1.6238155000000001E-2</v>
      </c>
      <c r="BQ51">
        <f>GHG!AJ195</f>
        <v>1.6238155000000001E-2</v>
      </c>
    </row>
    <row r="52" spans="1:69" x14ac:dyDescent="0.25">
      <c r="A52">
        <v>44</v>
      </c>
      <c r="B52" s="1">
        <f>Originial!B63</f>
        <v>0.08</v>
      </c>
      <c r="C52" s="1">
        <f>Originial!C63</f>
        <v>0.06</v>
      </c>
      <c r="D52" s="1">
        <f>Originial!D63</f>
        <v>0.08</v>
      </c>
      <c r="E52" s="1">
        <f>Originial!E63</f>
        <v>0.06</v>
      </c>
      <c r="F52" s="1">
        <f>Originial!F63</f>
        <v>0.05</v>
      </c>
      <c r="G52" s="1">
        <f>Originial!H63</f>
        <v>81.709999999999994</v>
      </c>
      <c r="H52" s="1">
        <f>Originial!J63</f>
        <v>17.100000000000001</v>
      </c>
      <c r="I52" s="1">
        <f>Originial!N63</f>
        <v>4.68</v>
      </c>
      <c r="J52" s="1">
        <f>Originial!O63</f>
        <v>31.29</v>
      </c>
      <c r="K52" s="1">
        <f>Originial!P63</f>
        <v>20.55</v>
      </c>
      <c r="L52" s="1">
        <f>Originial!Q63</f>
        <v>20.34</v>
      </c>
      <c r="M52" s="1">
        <f>Originial!R63</f>
        <v>33.229999999999997</v>
      </c>
      <c r="N52" s="1">
        <f>Originial!S63</f>
        <v>29.95</v>
      </c>
      <c r="O52" s="1">
        <f>Originial!T63</f>
        <v>33.93</v>
      </c>
      <c r="P52" s="1">
        <f>Originial!U63</f>
        <v>33.130000000000003</v>
      </c>
      <c r="Q52" s="1">
        <f>Originial!V63</f>
        <v>23.79</v>
      </c>
      <c r="R52" s="1">
        <f>Originial!AE63</f>
        <v>1.7000000000000001E-2</v>
      </c>
      <c r="S52" s="1">
        <f>Originial!AO63</f>
        <v>0.25</v>
      </c>
      <c r="T52" s="1">
        <f>Originial!AP63</f>
        <v>0.17</v>
      </c>
      <c r="U52" s="1">
        <f>Originial!AQ63</f>
        <v>0.09</v>
      </c>
      <c r="V52" s="1">
        <f>Originial!AT63</f>
        <v>12.35</v>
      </c>
      <c r="W52" s="1">
        <f>Originial!AU63</f>
        <v>12.92</v>
      </c>
      <c r="X52" s="1">
        <f>Originial!AV63</f>
        <v>9.61</v>
      </c>
      <c r="Y52" s="1">
        <f>Originial!AY63</f>
        <v>31.29</v>
      </c>
      <c r="Z52" s="1">
        <f>Originial!AZ63</f>
        <v>20.55</v>
      </c>
      <c r="AA52" s="1">
        <f>Originial!BA63</f>
        <v>20.34</v>
      </c>
      <c r="AB52">
        <f>GHG!B68</f>
        <v>2.6914777000000001E-2</v>
      </c>
      <c r="AC52">
        <f>GHG!C68</f>
        <v>2.5706768000000001E-2</v>
      </c>
      <c r="AD52">
        <f>GHG!D68</f>
        <v>3.3554617000000002E-2</v>
      </c>
      <c r="AE52">
        <f>GHG!E68</f>
        <v>2.9965821E-2</v>
      </c>
      <c r="AF52">
        <f>GHG!F68</f>
        <v>1.417027E-2</v>
      </c>
      <c r="AG52">
        <f>GHG!AB68</f>
        <v>20.906934660000001</v>
      </c>
      <c r="AH52">
        <f>GHG!AC68</f>
        <v>29.14204462</v>
      </c>
      <c r="AI52">
        <f>GHG!AD68</f>
        <v>29.142045</v>
      </c>
      <c r="AJ52">
        <f>GHG!AE68</f>
        <v>29.142045</v>
      </c>
      <c r="AK52">
        <f>GHG!AF68</f>
        <v>24.77231403</v>
      </c>
      <c r="AL52">
        <f>GHG!AG68</f>
        <v>24.772314000000001</v>
      </c>
      <c r="AM52">
        <f>GHG!AH68</f>
        <v>24.772314000000001</v>
      </c>
      <c r="AN52">
        <f>GHG!AI68</f>
        <v>29.283446210000001</v>
      </c>
      <c r="AO52">
        <f>GHG!AJ68</f>
        <v>28.77813093</v>
      </c>
      <c r="AP52">
        <f>GHG!B68</f>
        <v>2.6914777000000001E-2</v>
      </c>
      <c r="AQ52">
        <f>GHG!C68</f>
        <v>2.5706768000000001E-2</v>
      </c>
      <c r="AR52">
        <f>GHG!D68</f>
        <v>3.3554617000000002E-2</v>
      </c>
      <c r="AS52">
        <f>GHG!E68</f>
        <v>2.9965821E-2</v>
      </c>
      <c r="AT52">
        <f>GHG!F68</f>
        <v>1.417027E-2</v>
      </c>
      <c r="AU52">
        <f>GHG!AB132</f>
        <v>1.1896978000000001E-2</v>
      </c>
      <c r="AV52">
        <f>GHG!AC132</f>
        <v>7.138187E-2</v>
      </c>
      <c r="AW52">
        <f>GHG!AD132</f>
        <v>7.1381899999999998E-2</v>
      </c>
      <c r="AX52">
        <f>GHG!AE132</f>
        <v>7.1381899999999998E-2</v>
      </c>
      <c r="AY52">
        <f>GHG!AF132</f>
        <v>7.138187E-2</v>
      </c>
      <c r="AZ52">
        <f>GHG!AG132</f>
        <v>7.1381899999999998E-2</v>
      </c>
      <c r="BA52">
        <f>GHG!AH132</f>
        <v>7.1381899999999998E-2</v>
      </c>
      <c r="BB52">
        <f>GHG!AI132</f>
        <v>7.138187E-2</v>
      </c>
      <c r="BC52">
        <f>GHG!AJ132</f>
        <v>7.138187E-2</v>
      </c>
      <c r="BD52">
        <f>GHG!B196</f>
        <v>2.480229E-3</v>
      </c>
      <c r="BE52">
        <f>GHG!C196</f>
        <v>2.2492419999999998E-3</v>
      </c>
      <c r="BF52">
        <f>GHG!D196</f>
        <v>3.045056E-3</v>
      </c>
      <c r="BG52">
        <f>GHG!E196</f>
        <v>2.71828E-3</v>
      </c>
      <c r="BH52">
        <f>GHG!F196</f>
        <v>1.314623E-3</v>
      </c>
      <c r="BI52">
        <f>GHG!AB196</f>
        <v>5.4127180000000004E-3</v>
      </c>
      <c r="BJ52">
        <f>GHG!AC196</f>
        <v>1.6238155000000001E-2</v>
      </c>
      <c r="BK52">
        <f>GHG!AD196</f>
        <v>1.6238200000000001E-2</v>
      </c>
      <c r="BL52">
        <f>GHG!AE196</f>
        <v>1.6238200000000001E-2</v>
      </c>
      <c r="BM52">
        <f>GHG!AF196</f>
        <v>1.6238155000000001E-2</v>
      </c>
      <c r="BN52">
        <f>GHG!AG196</f>
        <v>1.6238200000000001E-2</v>
      </c>
      <c r="BO52">
        <f>GHG!AH196</f>
        <v>1.6238200000000001E-2</v>
      </c>
      <c r="BP52">
        <f>GHG!AI196</f>
        <v>1.6238155000000001E-2</v>
      </c>
      <c r="BQ52">
        <f>GHG!AJ196</f>
        <v>1.6238155000000001E-2</v>
      </c>
    </row>
    <row r="53" spans="1:69" x14ac:dyDescent="0.25">
      <c r="A53">
        <v>45</v>
      </c>
      <c r="B53" s="1">
        <f>Originial!B64</f>
        <v>0.08</v>
      </c>
      <c r="C53" s="1">
        <f>Originial!C64</f>
        <v>0.06</v>
      </c>
      <c r="D53" s="1">
        <f>Originial!D64</f>
        <v>0.08</v>
      </c>
      <c r="E53" s="1">
        <f>Originial!E64</f>
        <v>0.06</v>
      </c>
      <c r="F53" s="1">
        <f>Originial!F64</f>
        <v>0.05</v>
      </c>
      <c r="G53" s="1">
        <f>Originial!H64</f>
        <v>81.709999999999994</v>
      </c>
      <c r="H53" s="1">
        <f>Originial!J64</f>
        <v>17.100000000000001</v>
      </c>
      <c r="I53" s="1">
        <f>Originial!N64</f>
        <v>4.68</v>
      </c>
      <c r="J53" s="1">
        <f>Originial!O64</f>
        <v>31.29</v>
      </c>
      <c r="K53" s="1">
        <f>Originial!P64</f>
        <v>20.55</v>
      </c>
      <c r="L53" s="1">
        <f>Originial!Q64</f>
        <v>20.34</v>
      </c>
      <c r="M53" s="1">
        <f>Originial!R64</f>
        <v>33.229999999999997</v>
      </c>
      <c r="N53" s="1">
        <f>Originial!S64</f>
        <v>29.95</v>
      </c>
      <c r="O53" s="1">
        <f>Originial!T64</f>
        <v>33.93</v>
      </c>
      <c r="P53" s="1">
        <f>Originial!U64</f>
        <v>33.130000000000003</v>
      </c>
      <c r="Q53" s="1">
        <f>Originial!V64</f>
        <v>23.79</v>
      </c>
      <c r="R53" s="1">
        <f>Originial!AE64</f>
        <v>1.7000000000000001E-2</v>
      </c>
      <c r="S53" s="1">
        <f>Originial!AO64</f>
        <v>0.25</v>
      </c>
      <c r="T53" s="1">
        <f>Originial!AP64</f>
        <v>0.17</v>
      </c>
      <c r="U53" s="1">
        <f>Originial!AQ64</f>
        <v>0.09</v>
      </c>
      <c r="V53" s="1">
        <f>Originial!AT64</f>
        <v>12.35</v>
      </c>
      <c r="W53" s="1">
        <f>Originial!AU64</f>
        <v>12.92</v>
      </c>
      <c r="X53" s="1">
        <f>Originial!AV64</f>
        <v>9.61</v>
      </c>
      <c r="Y53" s="1">
        <f>Originial!AY64</f>
        <v>31.29</v>
      </c>
      <c r="Z53" s="1">
        <f>Originial!AZ64</f>
        <v>20.55</v>
      </c>
      <c r="AA53" s="1">
        <f>Originial!BA64</f>
        <v>20.34</v>
      </c>
      <c r="AB53">
        <f>GHG!B69</f>
        <v>2.6914777000000001E-2</v>
      </c>
      <c r="AC53">
        <f>GHG!C69</f>
        <v>2.5706768000000001E-2</v>
      </c>
      <c r="AD53">
        <f>GHG!D69</f>
        <v>3.3554617000000002E-2</v>
      </c>
      <c r="AE53">
        <f>GHG!E69</f>
        <v>2.9965821E-2</v>
      </c>
      <c r="AF53">
        <f>GHG!F69</f>
        <v>1.417027E-2</v>
      </c>
      <c r="AG53">
        <f>GHG!AB69</f>
        <v>20.906934660000001</v>
      </c>
      <c r="AH53">
        <f>GHG!AC69</f>
        <v>29.14204462</v>
      </c>
      <c r="AI53">
        <f>GHG!AD69</f>
        <v>29.142045</v>
      </c>
      <c r="AJ53">
        <f>GHG!AE69</f>
        <v>29.142045</v>
      </c>
      <c r="AK53">
        <f>GHG!AF69</f>
        <v>24.77231403</v>
      </c>
      <c r="AL53">
        <f>GHG!AG69</f>
        <v>24.772314000000001</v>
      </c>
      <c r="AM53">
        <f>GHG!AH69</f>
        <v>24.772314000000001</v>
      </c>
      <c r="AN53">
        <f>GHG!AI69</f>
        <v>29.283446210000001</v>
      </c>
      <c r="AO53">
        <f>GHG!AJ69</f>
        <v>28.77813093</v>
      </c>
      <c r="AP53">
        <f>GHG!B69</f>
        <v>2.6914777000000001E-2</v>
      </c>
      <c r="AQ53">
        <f>GHG!C69</f>
        <v>2.5706768000000001E-2</v>
      </c>
      <c r="AR53">
        <f>GHG!D69</f>
        <v>3.3554617000000002E-2</v>
      </c>
      <c r="AS53">
        <f>GHG!E69</f>
        <v>2.9965821E-2</v>
      </c>
      <c r="AT53">
        <f>GHG!F69</f>
        <v>1.417027E-2</v>
      </c>
      <c r="AU53">
        <f>GHG!AB133</f>
        <v>1.1896978000000001E-2</v>
      </c>
      <c r="AV53">
        <f>GHG!AC133</f>
        <v>7.138187E-2</v>
      </c>
      <c r="AW53">
        <f>GHG!AD133</f>
        <v>7.1381899999999998E-2</v>
      </c>
      <c r="AX53">
        <f>GHG!AE133</f>
        <v>7.1381899999999998E-2</v>
      </c>
      <c r="AY53">
        <f>GHG!AF133</f>
        <v>7.138187E-2</v>
      </c>
      <c r="AZ53">
        <f>GHG!AG133</f>
        <v>7.1381899999999998E-2</v>
      </c>
      <c r="BA53">
        <f>GHG!AH133</f>
        <v>7.1381899999999998E-2</v>
      </c>
      <c r="BB53">
        <f>GHG!AI133</f>
        <v>7.138187E-2</v>
      </c>
      <c r="BC53">
        <f>GHG!AJ133</f>
        <v>7.138187E-2</v>
      </c>
      <c r="BD53">
        <f>GHG!B197</f>
        <v>2.480229E-3</v>
      </c>
      <c r="BE53">
        <f>GHG!C197</f>
        <v>2.2492419999999998E-3</v>
      </c>
      <c r="BF53">
        <f>GHG!D197</f>
        <v>3.045056E-3</v>
      </c>
      <c r="BG53">
        <f>GHG!E197</f>
        <v>2.71828E-3</v>
      </c>
      <c r="BH53">
        <f>GHG!F197</f>
        <v>1.314623E-3</v>
      </c>
      <c r="BI53">
        <f>GHG!AB197</f>
        <v>5.4127180000000004E-3</v>
      </c>
      <c r="BJ53">
        <f>GHG!AC197</f>
        <v>1.6238155000000001E-2</v>
      </c>
      <c r="BK53">
        <f>GHG!AD197</f>
        <v>1.6238200000000001E-2</v>
      </c>
      <c r="BL53">
        <f>GHG!AE197</f>
        <v>1.6238200000000001E-2</v>
      </c>
      <c r="BM53">
        <f>GHG!AF197</f>
        <v>1.6238155000000001E-2</v>
      </c>
      <c r="BN53">
        <f>GHG!AG197</f>
        <v>1.6238200000000001E-2</v>
      </c>
      <c r="BO53">
        <f>GHG!AH197</f>
        <v>1.6238200000000001E-2</v>
      </c>
      <c r="BP53">
        <f>GHG!AI197</f>
        <v>1.6238155000000001E-2</v>
      </c>
      <c r="BQ53">
        <f>GHG!AJ197</f>
        <v>1.6238155000000001E-2</v>
      </c>
    </row>
    <row r="54" spans="1:69" x14ac:dyDescent="0.25">
      <c r="A54">
        <v>46</v>
      </c>
      <c r="B54" s="1">
        <f>Originial!B65</f>
        <v>0.08</v>
      </c>
      <c r="C54" s="1">
        <f>Originial!C65</f>
        <v>0.06</v>
      </c>
      <c r="D54" s="1">
        <f>Originial!D65</f>
        <v>0.08</v>
      </c>
      <c r="E54" s="1">
        <f>Originial!E65</f>
        <v>0.06</v>
      </c>
      <c r="F54" s="1">
        <f>Originial!F65</f>
        <v>0.05</v>
      </c>
      <c r="G54" s="1">
        <f>Originial!H65</f>
        <v>81.709999999999994</v>
      </c>
      <c r="H54" s="1">
        <f>Originial!J65</f>
        <v>17.100000000000001</v>
      </c>
      <c r="I54" s="1">
        <f>Originial!N65</f>
        <v>4.68</v>
      </c>
      <c r="J54" s="1">
        <f>Originial!O65</f>
        <v>31.29</v>
      </c>
      <c r="K54" s="1">
        <f>Originial!P65</f>
        <v>20.55</v>
      </c>
      <c r="L54" s="1">
        <f>Originial!Q65</f>
        <v>20.34</v>
      </c>
      <c r="M54" s="1">
        <f>Originial!R65</f>
        <v>33.229999999999997</v>
      </c>
      <c r="N54" s="1">
        <f>Originial!S65</f>
        <v>29.95</v>
      </c>
      <c r="O54" s="1">
        <f>Originial!T65</f>
        <v>33.93</v>
      </c>
      <c r="P54" s="1">
        <f>Originial!U65</f>
        <v>33.130000000000003</v>
      </c>
      <c r="Q54" s="1">
        <f>Originial!V65</f>
        <v>23.79</v>
      </c>
      <c r="R54" s="1">
        <f>Originial!AE65</f>
        <v>1.7000000000000001E-2</v>
      </c>
      <c r="S54" s="1">
        <f>Originial!AO65</f>
        <v>0.25</v>
      </c>
      <c r="T54" s="1">
        <f>Originial!AP65</f>
        <v>0.17</v>
      </c>
      <c r="U54" s="1">
        <f>Originial!AQ65</f>
        <v>0.09</v>
      </c>
      <c r="V54" s="1">
        <f>Originial!AT65</f>
        <v>12.35</v>
      </c>
      <c r="W54" s="1">
        <f>Originial!AU65</f>
        <v>12.92</v>
      </c>
      <c r="X54" s="1">
        <f>Originial!AV65</f>
        <v>9.61</v>
      </c>
      <c r="Y54" s="1">
        <f>Originial!AY65</f>
        <v>31.29</v>
      </c>
      <c r="Z54" s="1">
        <f>Originial!AZ65</f>
        <v>20.55</v>
      </c>
      <c r="AA54" s="1">
        <f>Originial!BA65</f>
        <v>20.34</v>
      </c>
      <c r="AB54">
        <f>GHG!B70</f>
        <v>2.6914777000000001E-2</v>
      </c>
      <c r="AC54">
        <f>GHG!C70</f>
        <v>2.5706768000000001E-2</v>
      </c>
      <c r="AD54">
        <f>GHG!D70</f>
        <v>3.3554617000000002E-2</v>
      </c>
      <c r="AE54">
        <f>GHG!E70</f>
        <v>2.9965821E-2</v>
      </c>
      <c r="AF54">
        <f>GHG!F70</f>
        <v>1.417027E-2</v>
      </c>
      <c r="AG54">
        <f>GHG!AB70</f>
        <v>20.906934660000001</v>
      </c>
      <c r="AH54">
        <f>GHG!AC70</f>
        <v>29.14204462</v>
      </c>
      <c r="AI54">
        <f>GHG!AD70</f>
        <v>29.142045</v>
      </c>
      <c r="AJ54">
        <f>GHG!AE70</f>
        <v>29.142045</v>
      </c>
      <c r="AK54">
        <f>GHG!AF70</f>
        <v>24.77231403</v>
      </c>
      <c r="AL54">
        <f>GHG!AG70</f>
        <v>24.772314000000001</v>
      </c>
      <c r="AM54">
        <f>GHG!AH70</f>
        <v>24.772314000000001</v>
      </c>
      <c r="AN54">
        <f>GHG!AI70</f>
        <v>29.283446210000001</v>
      </c>
      <c r="AO54">
        <f>GHG!AJ70</f>
        <v>28.77813093</v>
      </c>
      <c r="AP54">
        <f>GHG!B70</f>
        <v>2.6914777000000001E-2</v>
      </c>
      <c r="AQ54">
        <f>GHG!C70</f>
        <v>2.5706768000000001E-2</v>
      </c>
      <c r="AR54">
        <f>GHG!D70</f>
        <v>3.3554617000000002E-2</v>
      </c>
      <c r="AS54">
        <f>GHG!E70</f>
        <v>2.9965821E-2</v>
      </c>
      <c r="AT54">
        <f>GHG!F70</f>
        <v>1.417027E-2</v>
      </c>
      <c r="AU54">
        <f>GHG!AB134</f>
        <v>1.1896978000000001E-2</v>
      </c>
      <c r="AV54">
        <f>GHG!AC134</f>
        <v>7.138187E-2</v>
      </c>
      <c r="AW54">
        <f>GHG!AD134</f>
        <v>7.1381899999999998E-2</v>
      </c>
      <c r="AX54">
        <f>GHG!AE134</f>
        <v>7.1381899999999998E-2</v>
      </c>
      <c r="AY54">
        <f>GHG!AF134</f>
        <v>7.138187E-2</v>
      </c>
      <c r="AZ54">
        <f>GHG!AG134</f>
        <v>7.1381899999999998E-2</v>
      </c>
      <c r="BA54">
        <f>GHG!AH134</f>
        <v>7.1381899999999998E-2</v>
      </c>
      <c r="BB54">
        <f>GHG!AI134</f>
        <v>7.138187E-2</v>
      </c>
      <c r="BC54">
        <f>GHG!AJ134</f>
        <v>7.138187E-2</v>
      </c>
      <c r="BD54">
        <f>GHG!B198</f>
        <v>2.480229E-3</v>
      </c>
      <c r="BE54">
        <f>GHG!C198</f>
        <v>2.2492419999999998E-3</v>
      </c>
      <c r="BF54">
        <f>GHG!D198</f>
        <v>3.045056E-3</v>
      </c>
      <c r="BG54">
        <f>GHG!E198</f>
        <v>2.71828E-3</v>
      </c>
      <c r="BH54">
        <f>GHG!F198</f>
        <v>1.314623E-3</v>
      </c>
      <c r="BI54">
        <f>GHG!AB198</f>
        <v>5.4127180000000004E-3</v>
      </c>
      <c r="BJ54">
        <f>GHG!AC198</f>
        <v>1.6238155000000001E-2</v>
      </c>
      <c r="BK54">
        <f>GHG!AD198</f>
        <v>1.6238200000000001E-2</v>
      </c>
      <c r="BL54">
        <f>GHG!AE198</f>
        <v>1.6238200000000001E-2</v>
      </c>
      <c r="BM54">
        <f>GHG!AF198</f>
        <v>1.6238155000000001E-2</v>
      </c>
      <c r="BN54">
        <f>GHG!AG198</f>
        <v>1.6238200000000001E-2</v>
      </c>
      <c r="BO54">
        <f>GHG!AH198</f>
        <v>1.6238200000000001E-2</v>
      </c>
      <c r="BP54">
        <f>GHG!AI198</f>
        <v>1.6238155000000001E-2</v>
      </c>
      <c r="BQ54">
        <f>GHG!AJ198</f>
        <v>1.6238155000000001E-2</v>
      </c>
    </row>
    <row r="55" spans="1:69" x14ac:dyDescent="0.25">
      <c r="A55">
        <v>47</v>
      </c>
      <c r="B55" s="1">
        <f>Originial!B66</f>
        <v>0.08</v>
      </c>
      <c r="C55" s="1">
        <f>Originial!C66</f>
        <v>0.06</v>
      </c>
      <c r="D55" s="1">
        <f>Originial!D66</f>
        <v>0.08</v>
      </c>
      <c r="E55" s="1">
        <f>Originial!E66</f>
        <v>0.06</v>
      </c>
      <c r="F55" s="1">
        <f>Originial!F66</f>
        <v>0.05</v>
      </c>
      <c r="G55" s="1">
        <f>Originial!H66</f>
        <v>81.709999999999994</v>
      </c>
      <c r="H55" s="1">
        <f>Originial!J66</f>
        <v>17.100000000000001</v>
      </c>
      <c r="I55" s="1">
        <f>Originial!N66</f>
        <v>4.68</v>
      </c>
      <c r="J55" s="1">
        <f>Originial!O66</f>
        <v>31.29</v>
      </c>
      <c r="K55" s="1">
        <f>Originial!P66</f>
        <v>20.55</v>
      </c>
      <c r="L55" s="1">
        <f>Originial!Q66</f>
        <v>20.34</v>
      </c>
      <c r="M55" s="1">
        <f>Originial!R66</f>
        <v>33.229999999999997</v>
      </c>
      <c r="N55" s="1">
        <f>Originial!S66</f>
        <v>29.95</v>
      </c>
      <c r="O55" s="1">
        <f>Originial!T66</f>
        <v>33.93</v>
      </c>
      <c r="P55" s="1">
        <f>Originial!U66</f>
        <v>33.130000000000003</v>
      </c>
      <c r="Q55" s="1">
        <f>Originial!V66</f>
        <v>23.79</v>
      </c>
      <c r="R55" s="1">
        <f>Originial!AE66</f>
        <v>1.7000000000000001E-2</v>
      </c>
      <c r="S55" s="1">
        <f>Originial!AO66</f>
        <v>0.25</v>
      </c>
      <c r="T55" s="1">
        <f>Originial!AP66</f>
        <v>0.17</v>
      </c>
      <c r="U55" s="1">
        <f>Originial!AQ66</f>
        <v>0.09</v>
      </c>
      <c r="V55" s="1">
        <f>Originial!AT66</f>
        <v>12.35</v>
      </c>
      <c r="W55" s="1">
        <f>Originial!AU66</f>
        <v>12.92</v>
      </c>
      <c r="X55" s="1">
        <f>Originial!AV66</f>
        <v>9.61</v>
      </c>
      <c r="Y55" s="1">
        <f>Originial!AY66</f>
        <v>31.29</v>
      </c>
      <c r="Z55" s="1">
        <f>Originial!AZ66</f>
        <v>20.55</v>
      </c>
      <c r="AA55" s="1">
        <f>Originial!BA66</f>
        <v>20.34</v>
      </c>
      <c r="AB55">
        <f>GHG!B71</f>
        <v>2.6914777000000001E-2</v>
      </c>
      <c r="AC55">
        <f>GHG!C71</f>
        <v>2.5706768000000001E-2</v>
      </c>
      <c r="AD55">
        <f>GHG!D71</f>
        <v>3.3554617000000002E-2</v>
      </c>
      <c r="AE55">
        <f>GHG!E71</f>
        <v>2.9965821E-2</v>
      </c>
      <c r="AF55">
        <f>GHG!F71</f>
        <v>1.417027E-2</v>
      </c>
      <c r="AG55">
        <f>GHG!AB71</f>
        <v>20.906934660000001</v>
      </c>
      <c r="AH55">
        <f>GHG!AC71</f>
        <v>29.14204462</v>
      </c>
      <c r="AI55">
        <f>GHG!AD71</f>
        <v>29.142045</v>
      </c>
      <c r="AJ55">
        <f>GHG!AE71</f>
        <v>29.142045</v>
      </c>
      <c r="AK55">
        <f>GHG!AF71</f>
        <v>24.77231403</v>
      </c>
      <c r="AL55">
        <f>GHG!AG71</f>
        <v>24.772314000000001</v>
      </c>
      <c r="AM55">
        <f>GHG!AH71</f>
        <v>24.772314000000001</v>
      </c>
      <c r="AN55">
        <f>GHG!AI71</f>
        <v>29.283446210000001</v>
      </c>
      <c r="AO55">
        <f>GHG!AJ71</f>
        <v>28.77813093</v>
      </c>
      <c r="AP55">
        <f>GHG!B71</f>
        <v>2.6914777000000001E-2</v>
      </c>
      <c r="AQ55">
        <f>GHG!C71</f>
        <v>2.5706768000000001E-2</v>
      </c>
      <c r="AR55">
        <f>GHG!D71</f>
        <v>3.3554617000000002E-2</v>
      </c>
      <c r="AS55">
        <f>GHG!E71</f>
        <v>2.9965821E-2</v>
      </c>
      <c r="AT55">
        <f>GHG!F71</f>
        <v>1.417027E-2</v>
      </c>
      <c r="AU55">
        <f>GHG!AB135</f>
        <v>1.1896978000000001E-2</v>
      </c>
      <c r="AV55">
        <f>GHG!AC135</f>
        <v>7.138187E-2</v>
      </c>
      <c r="AW55">
        <f>GHG!AD135</f>
        <v>7.1381899999999998E-2</v>
      </c>
      <c r="AX55">
        <f>GHG!AE135</f>
        <v>7.1381899999999998E-2</v>
      </c>
      <c r="AY55">
        <f>GHG!AF135</f>
        <v>7.138187E-2</v>
      </c>
      <c r="AZ55">
        <f>GHG!AG135</f>
        <v>7.1381899999999998E-2</v>
      </c>
      <c r="BA55">
        <f>GHG!AH135</f>
        <v>7.1381899999999998E-2</v>
      </c>
      <c r="BB55">
        <f>GHG!AI135</f>
        <v>7.138187E-2</v>
      </c>
      <c r="BC55">
        <f>GHG!AJ135</f>
        <v>7.138187E-2</v>
      </c>
      <c r="BD55">
        <f>GHG!B199</f>
        <v>2.480229E-3</v>
      </c>
      <c r="BE55">
        <f>GHG!C199</f>
        <v>2.2492419999999998E-3</v>
      </c>
      <c r="BF55">
        <f>GHG!D199</f>
        <v>3.045056E-3</v>
      </c>
      <c r="BG55">
        <f>GHG!E199</f>
        <v>2.71828E-3</v>
      </c>
      <c r="BH55">
        <f>GHG!F199</f>
        <v>1.314623E-3</v>
      </c>
      <c r="BI55">
        <f>GHG!AB199</f>
        <v>5.4127180000000004E-3</v>
      </c>
      <c r="BJ55">
        <f>GHG!AC199</f>
        <v>1.6238155000000001E-2</v>
      </c>
      <c r="BK55">
        <f>GHG!AD199</f>
        <v>1.6238200000000001E-2</v>
      </c>
      <c r="BL55">
        <f>GHG!AE199</f>
        <v>1.6238200000000001E-2</v>
      </c>
      <c r="BM55">
        <f>GHG!AF199</f>
        <v>1.6238155000000001E-2</v>
      </c>
      <c r="BN55">
        <f>GHG!AG199</f>
        <v>1.6238200000000001E-2</v>
      </c>
      <c r="BO55">
        <f>GHG!AH199</f>
        <v>1.6238200000000001E-2</v>
      </c>
      <c r="BP55">
        <f>GHG!AI199</f>
        <v>1.6238155000000001E-2</v>
      </c>
      <c r="BQ55">
        <f>GHG!AJ199</f>
        <v>1.6238155000000001E-2</v>
      </c>
    </row>
    <row r="56" spans="1:69" x14ac:dyDescent="0.25">
      <c r="A56">
        <v>48</v>
      </c>
      <c r="B56" s="1">
        <f>Originial!B67</f>
        <v>0.08</v>
      </c>
      <c r="C56" s="1">
        <f>Originial!C67</f>
        <v>0.06</v>
      </c>
      <c r="D56" s="1">
        <f>Originial!D67</f>
        <v>0.08</v>
      </c>
      <c r="E56" s="1">
        <f>Originial!E67</f>
        <v>0.06</v>
      </c>
      <c r="F56" s="1">
        <f>Originial!F67</f>
        <v>0.05</v>
      </c>
      <c r="G56" s="1">
        <f>Originial!H67</f>
        <v>81.709999999999994</v>
      </c>
      <c r="H56" s="1">
        <f>Originial!J67</f>
        <v>17.100000000000001</v>
      </c>
      <c r="I56" s="1">
        <f>Originial!N67</f>
        <v>4.68</v>
      </c>
      <c r="J56" s="1">
        <f>Originial!O67</f>
        <v>31.29</v>
      </c>
      <c r="K56" s="1">
        <f>Originial!P67</f>
        <v>20.55</v>
      </c>
      <c r="L56" s="1">
        <f>Originial!Q67</f>
        <v>20.34</v>
      </c>
      <c r="M56" s="1">
        <f>Originial!R67</f>
        <v>33.229999999999997</v>
      </c>
      <c r="N56" s="1">
        <f>Originial!S67</f>
        <v>29.95</v>
      </c>
      <c r="O56" s="1">
        <f>Originial!T67</f>
        <v>33.93</v>
      </c>
      <c r="P56" s="1">
        <f>Originial!U67</f>
        <v>33.130000000000003</v>
      </c>
      <c r="Q56" s="1">
        <f>Originial!V67</f>
        <v>23.79</v>
      </c>
      <c r="R56" s="1">
        <f>Originial!AE67</f>
        <v>1.7000000000000001E-2</v>
      </c>
      <c r="S56" s="1">
        <f>Originial!AO67</f>
        <v>0.25</v>
      </c>
      <c r="T56" s="1">
        <f>Originial!AP67</f>
        <v>0.17</v>
      </c>
      <c r="U56" s="1">
        <f>Originial!AQ67</f>
        <v>0.09</v>
      </c>
      <c r="V56" s="1">
        <f>Originial!AT67</f>
        <v>12.35</v>
      </c>
      <c r="W56" s="1">
        <f>Originial!AU67</f>
        <v>12.92</v>
      </c>
      <c r="X56" s="1">
        <f>Originial!AV67</f>
        <v>9.61</v>
      </c>
      <c r="Y56" s="1">
        <f>Originial!AY67</f>
        <v>31.29</v>
      </c>
      <c r="Z56" s="1">
        <f>Originial!AZ67</f>
        <v>20.55</v>
      </c>
      <c r="AA56" s="1">
        <f>Originial!BA67</f>
        <v>20.34</v>
      </c>
      <c r="AB56">
        <f>GHG!B72</f>
        <v>2.6914777000000001E-2</v>
      </c>
      <c r="AC56">
        <f>GHG!C72</f>
        <v>2.5706768000000001E-2</v>
      </c>
      <c r="AD56">
        <f>GHG!D72</f>
        <v>3.3554617000000002E-2</v>
      </c>
      <c r="AE56">
        <f>GHG!E72</f>
        <v>2.9965821E-2</v>
      </c>
      <c r="AF56">
        <f>GHG!F72</f>
        <v>1.417027E-2</v>
      </c>
      <c r="AG56">
        <f>GHG!AB72</f>
        <v>20.906934660000001</v>
      </c>
      <c r="AH56">
        <f>GHG!AC72</f>
        <v>29.14204462</v>
      </c>
      <c r="AI56">
        <f>GHG!AD72</f>
        <v>29.142045</v>
      </c>
      <c r="AJ56">
        <f>GHG!AE72</f>
        <v>29.142045</v>
      </c>
      <c r="AK56">
        <f>GHG!AF72</f>
        <v>24.77231403</v>
      </c>
      <c r="AL56">
        <f>GHG!AG72</f>
        <v>24.772314000000001</v>
      </c>
      <c r="AM56">
        <f>GHG!AH72</f>
        <v>24.772314000000001</v>
      </c>
      <c r="AN56">
        <f>GHG!AI72</f>
        <v>29.283446210000001</v>
      </c>
      <c r="AO56">
        <f>GHG!AJ72</f>
        <v>28.77813093</v>
      </c>
      <c r="AP56">
        <f>GHG!B72</f>
        <v>2.6914777000000001E-2</v>
      </c>
      <c r="AQ56">
        <f>GHG!C72</f>
        <v>2.5706768000000001E-2</v>
      </c>
      <c r="AR56">
        <f>GHG!D72</f>
        <v>3.3554617000000002E-2</v>
      </c>
      <c r="AS56">
        <f>GHG!E72</f>
        <v>2.9965821E-2</v>
      </c>
      <c r="AT56">
        <f>GHG!F72</f>
        <v>1.417027E-2</v>
      </c>
      <c r="AU56">
        <f>GHG!AB136</f>
        <v>1.1896978000000001E-2</v>
      </c>
      <c r="AV56">
        <f>GHG!AC136</f>
        <v>7.138187E-2</v>
      </c>
      <c r="AW56">
        <f>GHG!AD136</f>
        <v>7.1381899999999998E-2</v>
      </c>
      <c r="AX56">
        <f>GHG!AE136</f>
        <v>7.1381899999999998E-2</v>
      </c>
      <c r="AY56">
        <f>GHG!AF136</f>
        <v>7.138187E-2</v>
      </c>
      <c r="AZ56">
        <f>GHG!AG136</f>
        <v>7.1381899999999998E-2</v>
      </c>
      <c r="BA56">
        <f>GHG!AH136</f>
        <v>7.1381899999999998E-2</v>
      </c>
      <c r="BB56">
        <f>GHG!AI136</f>
        <v>7.138187E-2</v>
      </c>
      <c r="BC56">
        <f>GHG!AJ136</f>
        <v>7.138187E-2</v>
      </c>
      <c r="BD56">
        <f>GHG!B200</f>
        <v>2.480229E-3</v>
      </c>
      <c r="BE56">
        <f>GHG!C200</f>
        <v>2.2492419999999998E-3</v>
      </c>
      <c r="BF56">
        <f>GHG!D200</f>
        <v>3.045056E-3</v>
      </c>
      <c r="BG56">
        <f>GHG!E200</f>
        <v>2.71828E-3</v>
      </c>
      <c r="BH56">
        <f>GHG!F200</f>
        <v>1.314623E-3</v>
      </c>
      <c r="BI56">
        <f>GHG!AB200</f>
        <v>5.4127180000000004E-3</v>
      </c>
      <c r="BJ56">
        <f>GHG!AC200</f>
        <v>1.6238155000000001E-2</v>
      </c>
      <c r="BK56">
        <f>GHG!AD200</f>
        <v>1.6238200000000001E-2</v>
      </c>
      <c r="BL56">
        <f>GHG!AE200</f>
        <v>1.6238200000000001E-2</v>
      </c>
      <c r="BM56">
        <f>GHG!AF200</f>
        <v>1.6238155000000001E-2</v>
      </c>
      <c r="BN56">
        <f>GHG!AG200</f>
        <v>1.6238200000000001E-2</v>
      </c>
      <c r="BO56">
        <f>GHG!AH200</f>
        <v>1.6238200000000001E-2</v>
      </c>
      <c r="BP56">
        <f>GHG!AI200</f>
        <v>1.6238155000000001E-2</v>
      </c>
      <c r="BQ56">
        <f>GHG!AJ200</f>
        <v>1.6238155000000001E-2</v>
      </c>
    </row>
    <row r="57" spans="1:69" x14ac:dyDescent="0.25">
      <c r="A57">
        <v>49</v>
      </c>
      <c r="B57" s="1">
        <f>Originial!B68</f>
        <v>0.08</v>
      </c>
      <c r="C57" s="1">
        <f>Originial!C68</f>
        <v>0.06</v>
      </c>
      <c r="D57" s="1">
        <f>Originial!D68</f>
        <v>0.08</v>
      </c>
      <c r="E57" s="1">
        <f>Originial!E68</f>
        <v>0.06</v>
      </c>
      <c r="F57" s="1">
        <f>Originial!F68</f>
        <v>0.05</v>
      </c>
      <c r="G57" s="1">
        <f>Originial!H68</f>
        <v>81.709999999999994</v>
      </c>
      <c r="H57" s="1">
        <f>Originial!J68</f>
        <v>17.100000000000001</v>
      </c>
      <c r="I57" s="1">
        <f>Originial!N68</f>
        <v>4.68</v>
      </c>
      <c r="J57" s="1">
        <f>Originial!O68</f>
        <v>31.29</v>
      </c>
      <c r="K57" s="1">
        <f>Originial!P68</f>
        <v>20.55</v>
      </c>
      <c r="L57" s="1">
        <f>Originial!Q68</f>
        <v>20.34</v>
      </c>
      <c r="M57" s="1">
        <f>Originial!R68</f>
        <v>33.229999999999997</v>
      </c>
      <c r="N57" s="1">
        <f>Originial!S68</f>
        <v>29.95</v>
      </c>
      <c r="O57" s="1">
        <f>Originial!T68</f>
        <v>33.93</v>
      </c>
      <c r="P57" s="1">
        <f>Originial!U68</f>
        <v>33.130000000000003</v>
      </c>
      <c r="Q57" s="1">
        <f>Originial!V68</f>
        <v>23.79</v>
      </c>
      <c r="R57" s="1">
        <f>Originial!AE68</f>
        <v>1.7000000000000001E-2</v>
      </c>
      <c r="S57" s="1">
        <f>Originial!AO68</f>
        <v>0.25</v>
      </c>
      <c r="T57" s="1">
        <f>Originial!AP68</f>
        <v>0.17</v>
      </c>
      <c r="U57" s="1">
        <f>Originial!AQ68</f>
        <v>0.09</v>
      </c>
      <c r="V57" s="1">
        <f>Originial!AT68</f>
        <v>12.35</v>
      </c>
      <c r="W57" s="1">
        <f>Originial!AU68</f>
        <v>12.92</v>
      </c>
      <c r="X57" s="1">
        <f>Originial!AV68</f>
        <v>9.61</v>
      </c>
      <c r="Y57" s="1">
        <f>Originial!AY68</f>
        <v>31.29</v>
      </c>
      <c r="Z57" s="1">
        <f>Originial!AZ68</f>
        <v>20.55</v>
      </c>
      <c r="AA57" s="1">
        <f>Originial!BA68</f>
        <v>20.34</v>
      </c>
      <c r="AB57">
        <f>GHG!B73</f>
        <v>2.6914777000000001E-2</v>
      </c>
      <c r="AC57">
        <f>GHG!C73</f>
        <v>2.5706768000000001E-2</v>
      </c>
      <c r="AD57">
        <f>GHG!D73</f>
        <v>3.3554617000000002E-2</v>
      </c>
      <c r="AE57">
        <f>GHG!E73</f>
        <v>2.9965821E-2</v>
      </c>
      <c r="AF57">
        <f>GHG!F73</f>
        <v>1.417027E-2</v>
      </c>
      <c r="AG57">
        <f>GHG!AB73</f>
        <v>20.906934660000001</v>
      </c>
      <c r="AH57">
        <f>GHG!AC73</f>
        <v>29.14204462</v>
      </c>
      <c r="AI57">
        <f>GHG!AD73</f>
        <v>29.142045</v>
      </c>
      <c r="AJ57">
        <f>GHG!AE73</f>
        <v>29.142045</v>
      </c>
      <c r="AK57">
        <f>GHG!AF73</f>
        <v>24.77231403</v>
      </c>
      <c r="AL57">
        <f>GHG!AG73</f>
        <v>24.772314000000001</v>
      </c>
      <c r="AM57">
        <f>GHG!AH73</f>
        <v>24.772314000000001</v>
      </c>
      <c r="AN57">
        <f>GHG!AI73</f>
        <v>29.283446210000001</v>
      </c>
      <c r="AO57">
        <f>GHG!AJ73</f>
        <v>28.77813093</v>
      </c>
      <c r="AP57">
        <f>GHG!B73</f>
        <v>2.6914777000000001E-2</v>
      </c>
      <c r="AQ57">
        <f>GHG!C73</f>
        <v>2.5706768000000001E-2</v>
      </c>
      <c r="AR57">
        <f>GHG!D73</f>
        <v>3.3554617000000002E-2</v>
      </c>
      <c r="AS57">
        <f>GHG!E73</f>
        <v>2.9965821E-2</v>
      </c>
      <c r="AT57">
        <f>GHG!F73</f>
        <v>1.417027E-2</v>
      </c>
      <c r="AU57">
        <f>GHG!AB137</f>
        <v>1.1896978000000001E-2</v>
      </c>
      <c r="AV57">
        <f>GHG!AC137</f>
        <v>7.138187E-2</v>
      </c>
      <c r="AW57">
        <f>GHG!AD137</f>
        <v>7.1381899999999998E-2</v>
      </c>
      <c r="AX57">
        <f>GHG!AE137</f>
        <v>7.1381899999999998E-2</v>
      </c>
      <c r="AY57">
        <f>GHG!AF137</f>
        <v>7.138187E-2</v>
      </c>
      <c r="AZ57">
        <f>GHG!AG137</f>
        <v>7.1381899999999998E-2</v>
      </c>
      <c r="BA57">
        <f>GHG!AH137</f>
        <v>7.1381899999999998E-2</v>
      </c>
      <c r="BB57">
        <f>GHG!AI137</f>
        <v>7.138187E-2</v>
      </c>
      <c r="BC57">
        <f>GHG!AJ137</f>
        <v>7.138187E-2</v>
      </c>
      <c r="BD57">
        <f>GHG!B201</f>
        <v>2.480229E-3</v>
      </c>
      <c r="BE57">
        <f>GHG!C201</f>
        <v>2.2492419999999998E-3</v>
      </c>
      <c r="BF57">
        <f>GHG!D201</f>
        <v>3.045056E-3</v>
      </c>
      <c r="BG57">
        <f>GHG!E201</f>
        <v>2.71828E-3</v>
      </c>
      <c r="BH57">
        <f>GHG!F201</f>
        <v>1.314623E-3</v>
      </c>
      <c r="BI57">
        <f>GHG!AB201</f>
        <v>5.4127180000000004E-3</v>
      </c>
      <c r="BJ57">
        <f>GHG!AC201</f>
        <v>1.6238155000000001E-2</v>
      </c>
      <c r="BK57">
        <f>GHG!AD201</f>
        <v>1.6238200000000001E-2</v>
      </c>
      <c r="BL57">
        <f>GHG!AE201</f>
        <v>1.6238200000000001E-2</v>
      </c>
      <c r="BM57">
        <f>GHG!AF201</f>
        <v>1.6238155000000001E-2</v>
      </c>
      <c r="BN57">
        <f>GHG!AG201</f>
        <v>1.6238200000000001E-2</v>
      </c>
      <c r="BO57">
        <f>GHG!AH201</f>
        <v>1.6238200000000001E-2</v>
      </c>
      <c r="BP57">
        <f>GHG!AI201</f>
        <v>1.6238155000000001E-2</v>
      </c>
      <c r="BQ57">
        <f>GHG!AJ201</f>
        <v>1.6238155000000001E-2</v>
      </c>
    </row>
    <row r="58" spans="1:69" x14ac:dyDescent="0.25">
      <c r="A58">
        <v>50</v>
      </c>
      <c r="B58" s="1">
        <f>Originial!B69</f>
        <v>0.08</v>
      </c>
      <c r="C58" s="1">
        <f>Originial!C69</f>
        <v>0.06</v>
      </c>
      <c r="D58" s="1">
        <f>Originial!D69</f>
        <v>0.08</v>
      </c>
      <c r="E58" s="1">
        <f>Originial!E69</f>
        <v>0.06</v>
      </c>
      <c r="F58" s="1">
        <f>Originial!F69</f>
        <v>0.05</v>
      </c>
      <c r="G58" s="1">
        <f>Originial!H69</f>
        <v>81.709999999999994</v>
      </c>
      <c r="H58" s="1">
        <f>Originial!J69</f>
        <v>17.100000000000001</v>
      </c>
      <c r="I58" s="1">
        <f>Originial!N69</f>
        <v>4.68</v>
      </c>
      <c r="J58" s="1">
        <f>Originial!O69</f>
        <v>31.29</v>
      </c>
      <c r="K58" s="1">
        <f>Originial!P69</f>
        <v>20.55</v>
      </c>
      <c r="L58" s="1">
        <f>Originial!Q69</f>
        <v>20.34</v>
      </c>
      <c r="M58" s="1">
        <f>Originial!R69</f>
        <v>33.229999999999997</v>
      </c>
      <c r="N58" s="1">
        <f>Originial!S69</f>
        <v>29.95</v>
      </c>
      <c r="O58" s="1">
        <f>Originial!T69</f>
        <v>33.93</v>
      </c>
      <c r="P58" s="1">
        <f>Originial!U69</f>
        <v>33.130000000000003</v>
      </c>
      <c r="Q58" s="1">
        <f>Originial!V69</f>
        <v>23.79</v>
      </c>
      <c r="R58" s="1">
        <f>Originial!AE69</f>
        <v>1.7000000000000001E-2</v>
      </c>
      <c r="S58" s="1">
        <f>Originial!AO69</f>
        <v>0.25</v>
      </c>
      <c r="T58" s="1">
        <f>Originial!AP69</f>
        <v>0.17</v>
      </c>
      <c r="U58" s="1">
        <f>Originial!AQ69</f>
        <v>0.09</v>
      </c>
      <c r="V58" s="1">
        <f>Originial!AT69</f>
        <v>12.35</v>
      </c>
      <c r="W58" s="1">
        <f>Originial!AU69</f>
        <v>12.92</v>
      </c>
      <c r="X58" s="1">
        <f>Originial!AV69</f>
        <v>9.61</v>
      </c>
      <c r="Y58" s="1">
        <f>Originial!AY69</f>
        <v>31.29</v>
      </c>
      <c r="Z58" s="1">
        <f>Originial!AZ69</f>
        <v>20.55</v>
      </c>
      <c r="AA58" s="1">
        <f>Originial!BA69</f>
        <v>20.34</v>
      </c>
      <c r="AB58">
        <f>GHG!B74</f>
        <v>2.6914777000000001E-2</v>
      </c>
      <c r="AC58">
        <f>GHG!C74</f>
        <v>2.5706768000000001E-2</v>
      </c>
      <c r="AD58">
        <f>GHG!D74</f>
        <v>3.3554617000000002E-2</v>
      </c>
      <c r="AE58">
        <f>GHG!E74</f>
        <v>2.9965821E-2</v>
      </c>
      <c r="AF58">
        <f>GHG!F74</f>
        <v>1.417027E-2</v>
      </c>
      <c r="AG58">
        <f>GHG!AB74</f>
        <v>20.906934660000001</v>
      </c>
      <c r="AH58">
        <f>GHG!AC74</f>
        <v>29.14204462</v>
      </c>
      <c r="AI58">
        <f>GHG!AD74</f>
        <v>29.142045</v>
      </c>
      <c r="AJ58">
        <f>GHG!AE74</f>
        <v>29.142045</v>
      </c>
      <c r="AK58">
        <f>GHG!AF74</f>
        <v>24.77231403</v>
      </c>
      <c r="AL58">
        <f>GHG!AG74</f>
        <v>24.772314000000001</v>
      </c>
      <c r="AM58">
        <f>GHG!AH74</f>
        <v>24.772314000000001</v>
      </c>
      <c r="AN58">
        <f>GHG!AI74</f>
        <v>29.283446210000001</v>
      </c>
      <c r="AO58">
        <f>GHG!AJ74</f>
        <v>28.77813093</v>
      </c>
      <c r="AP58">
        <f>GHG!B74</f>
        <v>2.6914777000000001E-2</v>
      </c>
      <c r="AQ58">
        <f>GHG!C74</f>
        <v>2.5706768000000001E-2</v>
      </c>
      <c r="AR58">
        <f>GHG!D74</f>
        <v>3.3554617000000002E-2</v>
      </c>
      <c r="AS58">
        <f>GHG!E74</f>
        <v>2.9965821E-2</v>
      </c>
      <c r="AT58">
        <f>GHG!F74</f>
        <v>1.417027E-2</v>
      </c>
      <c r="AU58">
        <f>GHG!AB138</f>
        <v>1.1896978000000001E-2</v>
      </c>
      <c r="AV58">
        <f>GHG!AC138</f>
        <v>7.138187E-2</v>
      </c>
      <c r="AW58">
        <f>GHG!AD138</f>
        <v>7.1381899999999998E-2</v>
      </c>
      <c r="AX58">
        <f>GHG!AE138</f>
        <v>7.1381899999999998E-2</v>
      </c>
      <c r="AY58">
        <f>GHG!AF138</f>
        <v>7.138187E-2</v>
      </c>
      <c r="AZ58">
        <f>GHG!AG138</f>
        <v>7.1381899999999998E-2</v>
      </c>
      <c r="BA58">
        <f>GHG!AH138</f>
        <v>7.1381899999999998E-2</v>
      </c>
      <c r="BB58">
        <f>GHG!AI138</f>
        <v>7.138187E-2</v>
      </c>
      <c r="BC58">
        <f>GHG!AJ138</f>
        <v>7.138187E-2</v>
      </c>
      <c r="BD58">
        <f>GHG!B202</f>
        <v>2.480229E-3</v>
      </c>
      <c r="BE58">
        <f>GHG!C202</f>
        <v>2.2492419999999998E-3</v>
      </c>
      <c r="BF58">
        <f>GHG!D202</f>
        <v>3.045056E-3</v>
      </c>
      <c r="BG58">
        <f>GHG!E202</f>
        <v>2.71828E-3</v>
      </c>
      <c r="BH58">
        <f>GHG!F202</f>
        <v>1.314623E-3</v>
      </c>
      <c r="BI58">
        <f>GHG!AB202</f>
        <v>5.4127180000000004E-3</v>
      </c>
      <c r="BJ58">
        <f>GHG!AC202</f>
        <v>1.6238155000000001E-2</v>
      </c>
      <c r="BK58">
        <f>GHG!AD202</f>
        <v>1.6238200000000001E-2</v>
      </c>
      <c r="BL58">
        <f>GHG!AE202</f>
        <v>1.6238200000000001E-2</v>
      </c>
      <c r="BM58">
        <f>GHG!AF202</f>
        <v>1.6238155000000001E-2</v>
      </c>
      <c r="BN58">
        <f>GHG!AG202</f>
        <v>1.6238200000000001E-2</v>
      </c>
      <c r="BO58">
        <f>GHG!AH202</f>
        <v>1.6238200000000001E-2</v>
      </c>
      <c r="BP58">
        <f>GHG!AI202</f>
        <v>1.6238155000000001E-2</v>
      </c>
      <c r="BQ58">
        <f>GHG!AJ202</f>
        <v>1.6238155000000001E-2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71"/>
  <sheetViews>
    <sheetView workbookViewId="0">
      <selection activeCell="K16" sqref="K16:K17"/>
    </sheetView>
  </sheetViews>
  <sheetFormatPr defaultRowHeight="15" x14ac:dyDescent="0.25"/>
  <sheetData>
    <row r="1" spans="1:137" ht="15" customHeight="1" x14ac:dyDescent="0.25">
      <c r="A1" s="2" t="s">
        <v>169</v>
      </c>
      <c r="B1" s="2"/>
      <c r="C1" s="2"/>
      <c r="D1" s="2"/>
      <c r="E1" s="82" t="s">
        <v>170</v>
      </c>
      <c r="F1" s="83"/>
      <c r="G1" s="83"/>
      <c r="H1" s="83"/>
      <c r="I1" s="83"/>
      <c r="J1" s="83"/>
      <c r="K1" s="3"/>
      <c r="L1" s="3"/>
      <c r="M1" s="4" t="s">
        <v>171</v>
      </c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84"/>
      <c r="AD1" s="84"/>
      <c r="AE1" s="3"/>
      <c r="AF1" s="84"/>
      <c r="AG1" s="84"/>
      <c r="AH1" s="3"/>
      <c r="AI1" s="5"/>
      <c r="AJ1" s="5"/>
      <c r="AK1" s="5"/>
      <c r="AL1" s="5"/>
      <c r="AM1" s="3"/>
      <c r="AN1" s="84"/>
      <c r="AO1" s="84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84"/>
      <c r="BE1" s="84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</row>
    <row r="2" spans="1:13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84"/>
      <c r="M2" s="8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84"/>
      <c r="AD2" s="84"/>
      <c r="AE2" s="3"/>
      <c r="AF2" s="84"/>
      <c r="AG2" s="84"/>
      <c r="AH2" s="3"/>
      <c r="AI2" s="3"/>
      <c r="AJ2" s="3"/>
      <c r="AK2" s="3"/>
      <c r="AL2" s="3"/>
      <c r="AM2" s="3"/>
      <c r="AN2" s="84"/>
      <c r="AO2" s="84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84"/>
      <c r="BE2" s="84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</row>
    <row r="3" spans="1:137" x14ac:dyDescent="0.25">
      <c r="A3" s="3"/>
      <c r="B3" s="6" t="s">
        <v>172</v>
      </c>
      <c r="C3" s="3"/>
      <c r="D3" s="3"/>
      <c r="E3" s="3"/>
      <c r="F3" s="6" t="s">
        <v>173</v>
      </c>
      <c r="G3" s="6" t="s">
        <v>173</v>
      </c>
      <c r="H3" s="6" t="s">
        <v>173</v>
      </c>
      <c r="I3" s="6" t="s">
        <v>173</v>
      </c>
      <c r="J3" s="6" t="s">
        <v>173</v>
      </c>
      <c r="K3" s="6" t="s">
        <v>173</v>
      </c>
      <c r="L3" s="3"/>
      <c r="M3" s="6" t="s">
        <v>174</v>
      </c>
      <c r="N3" s="3"/>
      <c r="O3" s="3"/>
      <c r="P3" s="3"/>
      <c r="Q3" s="6" t="s">
        <v>173</v>
      </c>
      <c r="R3" s="6" t="s">
        <v>173</v>
      </c>
      <c r="S3" s="6" t="s">
        <v>173</v>
      </c>
      <c r="T3" s="6" t="s">
        <v>173</v>
      </c>
      <c r="U3" s="6" t="s">
        <v>173</v>
      </c>
      <c r="V3" s="6" t="s">
        <v>173</v>
      </c>
      <c r="W3" s="6" t="s">
        <v>173</v>
      </c>
      <c r="X3" s="6" t="s">
        <v>173</v>
      </c>
      <c r="Y3" s="6" t="s">
        <v>173</v>
      </c>
      <c r="Z3" s="6" t="s">
        <v>173</v>
      </c>
      <c r="AA3" s="6" t="s">
        <v>173</v>
      </c>
      <c r="AB3" s="6" t="s">
        <v>173</v>
      </c>
      <c r="AC3" s="85" t="s">
        <v>173</v>
      </c>
      <c r="AD3" s="85"/>
      <c r="AE3" s="3"/>
      <c r="AF3" s="84"/>
      <c r="AG3" s="84"/>
      <c r="AH3" s="3"/>
      <c r="AI3" s="6" t="s">
        <v>175</v>
      </c>
      <c r="AJ3" s="3"/>
      <c r="AK3" s="3"/>
      <c r="AL3" s="7" t="s">
        <v>173</v>
      </c>
      <c r="AM3" s="3" t="s">
        <v>176</v>
      </c>
      <c r="AN3" s="84"/>
      <c r="AO3" s="84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84"/>
      <c r="BE3" s="84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</row>
    <row r="4" spans="1:137" ht="15" customHeight="1" x14ac:dyDescent="0.25">
      <c r="A4" s="8" t="s">
        <v>177</v>
      </c>
      <c r="B4" s="9" t="s">
        <v>178</v>
      </c>
      <c r="C4" s="9" t="s">
        <v>179</v>
      </c>
      <c r="D4" s="9" t="s">
        <v>180</v>
      </c>
      <c r="E4" s="9" t="s">
        <v>181</v>
      </c>
      <c r="F4" s="9" t="s">
        <v>182</v>
      </c>
      <c r="G4" s="9" t="s">
        <v>173</v>
      </c>
      <c r="H4" s="9" t="s">
        <v>183</v>
      </c>
      <c r="I4" s="9" t="s">
        <v>173</v>
      </c>
      <c r="J4" s="9" t="s">
        <v>184</v>
      </c>
      <c r="K4" s="9" t="s">
        <v>173</v>
      </c>
      <c r="L4" s="3"/>
      <c r="M4" s="10" t="s">
        <v>177</v>
      </c>
      <c r="N4" s="11" t="s">
        <v>185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 t="s">
        <v>173</v>
      </c>
      <c r="U4" s="11" t="s">
        <v>173</v>
      </c>
      <c r="V4" s="11" t="s">
        <v>173</v>
      </c>
      <c r="W4" s="11" t="s">
        <v>173</v>
      </c>
      <c r="X4" s="11" t="s">
        <v>173</v>
      </c>
      <c r="Y4" s="11" t="s">
        <v>173</v>
      </c>
      <c r="Z4" s="11" t="s">
        <v>173</v>
      </c>
      <c r="AA4" s="11" t="s">
        <v>173</v>
      </c>
      <c r="AB4" s="11" t="s">
        <v>173</v>
      </c>
      <c r="AC4" s="11" t="s">
        <v>173</v>
      </c>
      <c r="AD4" s="84" t="s">
        <v>173</v>
      </c>
      <c r="AE4" s="84"/>
      <c r="AF4" s="84"/>
      <c r="AG4" s="84"/>
      <c r="AH4" s="3"/>
      <c r="AI4" s="12" t="s">
        <v>186</v>
      </c>
      <c r="AJ4" s="9" t="s">
        <v>187</v>
      </c>
      <c r="AK4" s="13" t="s">
        <v>96</v>
      </c>
      <c r="AL4" s="86" t="s">
        <v>188</v>
      </c>
      <c r="AM4" s="87"/>
      <c r="AN4" s="84"/>
      <c r="AO4" s="84"/>
      <c r="AP4" s="14"/>
      <c r="AQ4" s="14"/>
      <c r="AR4" s="3"/>
      <c r="AS4" s="3"/>
      <c r="AT4" s="14"/>
      <c r="AU4" s="14"/>
      <c r="AV4" s="14"/>
      <c r="AW4" s="3"/>
      <c r="AX4" s="3"/>
      <c r="AY4" s="14"/>
      <c r="AZ4" s="14"/>
      <c r="BA4" s="14"/>
      <c r="BB4" s="3"/>
      <c r="BC4" s="3"/>
      <c r="BD4" s="84"/>
      <c r="BE4" s="84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</row>
    <row r="5" spans="1:137" x14ac:dyDescent="0.25">
      <c r="A5" s="15" t="s">
        <v>189</v>
      </c>
      <c r="B5" s="16">
        <v>0.1</v>
      </c>
      <c r="C5" s="16">
        <v>0.1</v>
      </c>
      <c r="D5" s="16">
        <v>0.1</v>
      </c>
      <c r="E5" s="16">
        <v>0.1</v>
      </c>
      <c r="F5" s="16">
        <v>0.1</v>
      </c>
      <c r="G5" s="16" t="s">
        <v>173</v>
      </c>
      <c r="H5" s="16">
        <v>0.24099999999999999</v>
      </c>
      <c r="I5" s="16" t="s">
        <v>173</v>
      </c>
      <c r="J5" s="16">
        <v>0.24099999999999999</v>
      </c>
      <c r="K5" s="16" t="s">
        <v>173</v>
      </c>
      <c r="L5" s="3"/>
      <c r="M5" s="17" t="s">
        <v>189</v>
      </c>
      <c r="N5" s="18" t="s">
        <v>173</v>
      </c>
      <c r="O5" s="19" t="s">
        <v>173</v>
      </c>
      <c r="P5" s="19" t="s">
        <v>173</v>
      </c>
      <c r="Q5" s="19" t="s">
        <v>173</v>
      </c>
      <c r="R5" s="19" t="s">
        <v>173</v>
      </c>
      <c r="S5" s="19" t="s">
        <v>173</v>
      </c>
      <c r="T5" s="19" t="s">
        <v>173</v>
      </c>
      <c r="U5" s="19" t="s">
        <v>173</v>
      </c>
      <c r="V5" s="19" t="s">
        <v>173</v>
      </c>
      <c r="W5" s="19" t="s">
        <v>173</v>
      </c>
      <c r="X5" s="19" t="s">
        <v>173</v>
      </c>
      <c r="Y5" s="19" t="s">
        <v>173</v>
      </c>
      <c r="Z5" s="19" t="s">
        <v>173</v>
      </c>
      <c r="AA5" s="19" t="s">
        <v>173</v>
      </c>
      <c r="AB5" s="19" t="s">
        <v>173</v>
      </c>
      <c r="AC5" s="19" t="s">
        <v>173</v>
      </c>
      <c r="AD5" s="84" t="s">
        <v>173</v>
      </c>
      <c r="AE5" s="84"/>
      <c r="AF5" s="84"/>
      <c r="AG5" s="84"/>
      <c r="AH5" s="3" t="s">
        <v>190</v>
      </c>
      <c r="AI5" s="15">
        <v>0</v>
      </c>
      <c r="AJ5" s="16">
        <v>0</v>
      </c>
      <c r="AK5" s="16">
        <v>0</v>
      </c>
      <c r="AL5" s="20" t="s">
        <v>191</v>
      </c>
      <c r="AM5" s="21" t="s">
        <v>192</v>
      </c>
      <c r="AN5" s="3"/>
      <c r="AO5" s="3" t="s">
        <v>193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84"/>
      <c r="BE5" s="84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</row>
    <row r="6" spans="1:137" x14ac:dyDescent="0.25">
      <c r="A6" s="15" t="s">
        <v>194</v>
      </c>
      <c r="B6" s="16">
        <v>8.9499999999999996E-2</v>
      </c>
      <c r="C6" s="16">
        <v>8.9499999999999996E-2</v>
      </c>
      <c r="D6" s="16">
        <v>8.9499999999999996E-2</v>
      </c>
      <c r="E6" s="16">
        <v>8.9499999999999996E-2</v>
      </c>
      <c r="F6" s="16">
        <v>8.9499999999999996E-2</v>
      </c>
      <c r="G6" s="16" t="s">
        <v>173</v>
      </c>
      <c r="H6" s="16">
        <v>0.24099999999999999</v>
      </c>
      <c r="I6" s="16" t="s">
        <v>173</v>
      </c>
      <c r="J6" s="16">
        <v>0.24099999999999999</v>
      </c>
      <c r="K6" s="16" t="s">
        <v>173</v>
      </c>
      <c r="L6" s="3"/>
      <c r="M6" s="17" t="s">
        <v>194</v>
      </c>
      <c r="N6" s="15" t="s">
        <v>173</v>
      </c>
      <c r="O6" s="16" t="s">
        <v>173</v>
      </c>
      <c r="P6" s="16" t="s">
        <v>173</v>
      </c>
      <c r="Q6" s="16" t="s">
        <v>173</v>
      </c>
      <c r="R6" s="16" t="s">
        <v>173</v>
      </c>
      <c r="S6" s="16" t="s">
        <v>173</v>
      </c>
      <c r="T6" s="16" t="s">
        <v>173</v>
      </c>
      <c r="U6" s="16" t="s">
        <v>173</v>
      </c>
      <c r="V6" s="16" t="s">
        <v>173</v>
      </c>
      <c r="W6" s="16" t="s">
        <v>173</v>
      </c>
      <c r="X6" s="16" t="s">
        <v>173</v>
      </c>
      <c r="Y6" s="16" t="s">
        <v>173</v>
      </c>
      <c r="Z6" s="16" t="s">
        <v>173</v>
      </c>
      <c r="AA6" s="16" t="s">
        <v>173</v>
      </c>
      <c r="AB6" s="16" t="s">
        <v>173</v>
      </c>
      <c r="AC6" s="16" t="s">
        <v>173</v>
      </c>
      <c r="AD6" s="84" t="s">
        <v>173</v>
      </c>
      <c r="AE6" s="84"/>
      <c r="AF6" s="84"/>
      <c r="AG6" s="84"/>
      <c r="AH6" s="3" t="s">
        <v>195</v>
      </c>
      <c r="AI6" s="15">
        <v>5.3060000000000003E-2</v>
      </c>
      <c r="AJ6" s="22">
        <v>9.9999999999999995E-8</v>
      </c>
      <c r="AK6" s="16">
        <v>9.9999999999999995E-7</v>
      </c>
      <c r="AL6" s="20" t="s">
        <v>191</v>
      </c>
      <c r="AM6" s="21" t="s">
        <v>196</v>
      </c>
      <c r="AN6" s="3"/>
      <c r="AO6" s="3" t="s">
        <v>197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84"/>
      <c r="BE6" s="84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23"/>
    </row>
    <row r="7" spans="1:137" x14ac:dyDescent="0.25">
      <c r="A7" s="15" t="s">
        <v>198</v>
      </c>
      <c r="B7" s="16">
        <v>8.9499999999999996E-2</v>
      </c>
      <c r="C7" s="16">
        <v>8.9499999999999996E-2</v>
      </c>
      <c r="D7" s="16">
        <v>8.9499999999999996E-2</v>
      </c>
      <c r="E7" s="16">
        <v>8.9499999999999996E-2</v>
      </c>
      <c r="F7" s="16">
        <v>8.9499999999999996E-2</v>
      </c>
      <c r="G7" s="16" t="s">
        <v>173</v>
      </c>
      <c r="H7" s="16">
        <v>0.24099999999999999</v>
      </c>
      <c r="I7" s="16" t="s">
        <v>173</v>
      </c>
      <c r="J7" s="16">
        <v>0.24099999999999999</v>
      </c>
      <c r="K7" s="16" t="s">
        <v>173</v>
      </c>
      <c r="L7" s="3"/>
      <c r="M7" s="17" t="s">
        <v>198</v>
      </c>
      <c r="N7" s="15" t="s">
        <v>173</v>
      </c>
      <c r="O7" s="16" t="s">
        <v>173</v>
      </c>
      <c r="P7" s="16" t="s">
        <v>173</v>
      </c>
      <c r="Q7" s="16" t="s">
        <v>173</v>
      </c>
      <c r="R7" s="16" t="s">
        <v>173</v>
      </c>
      <c r="S7" s="16" t="s">
        <v>173</v>
      </c>
      <c r="T7" s="16" t="s">
        <v>173</v>
      </c>
      <c r="U7" s="16" t="s">
        <v>173</v>
      </c>
      <c r="V7" s="16" t="s">
        <v>173</v>
      </c>
      <c r="W7" s="16" t="s">
        <v>173</v>
      </c>
      <c r="X7" s="16" t="s">
        <v>173</v>
      </c>
      <c r="Y7" s="16" t="s">
        <v>173</v>
      </c>
      <c r="Z7" s="16" t="s">
        <v>173</v>
      </c>
      <c r="AA7" s="16" t="s">
        <v>173</v>
      </c>
      <c r="AB7" s="16" t="s">
        <v>173</v>
      </c>
      <c r="AC7" s="16" t="s">
        <v>173</v>
      </c>
      <c r="AD7" s="84" t="s">
        <v>173</v>
      </c>
      <c r="AE7" s="84"/>
      <c r="AF7" s="84"/>
      <c r="AG7" s="84"/>
      <c r="AH7" s="3" t="s">
        <v>199</v>
      </c>
      <c r="AI7" s="15">
        <v>7.3959999999999998E-2</v>
      </c>
      <c r="AJ7" s="22">
        <v>5.9999999999999997E-7</v>
      </c>
      <c r="AK7" s="16">
        <v>3.0000000000000001E-6</v>
      </c>
      <c r="AL7" s="20" t="s">
        <v>191</v>
      </c>
      <c r="AM7" s="21" t="s">
        <v>196</v>
      </c>
      <c r="AN7" s="3"/>
      <c r="AO7" s="3">
        <v>1.1020000000000001</v>
      </c>
      <c r="AP7" s="3" t="s">
        <v>200</v>
      </c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84"/>
      <c r="BE7" s="84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</row>
    <row r="8" spans="1:137" x14ac:dyDescent="0.25">
      <c r="A8" s="15" t="s">
        <v>173</v>
      </c>
      <c r="B8" s="24" t="s">
        <v>173</v>
      </c>
      <c r="C8" s="16" t="s">
        <v>173</v>
      </c>
      <c r="D8" s="16" t="s">
        <v>173</v>
      </c>
      <c r="E8" s="16" t="s">
        <v>173</v>
      </c>
      <c r="F8" s="16" t="s">
        <v>173</v>
      </c>
      <c r="G8" s="16" t="s">
        <v>173</v>
      </c>
      <c r="H8" s="16" t="s">
        <v>173</v>
      </c>
      <c r="I8" s="16" t="s">
        <v>173</v>
      </c>
      <c r="J8" s="16" t="s">
        <v>173</v>
      </c>
      <c r="K8" s="16" t="s">
        <v>173</v>
      </c>
      <c r="L8" s="3"/>
      <c r="M8" s="17" t="s">
        <v>173</v>
      </c>
      <c r="N8" s="15" t="s">
        <v>173</v>
      </c>
      <c r="O8" s="16" t="s">
        <v>173</v>
      </c>
      <c r="P8" s="16" t="s">
        <v>173</v>
      </c>
      <c r="Q8" s="16" t="s">
        <v>173</v>
      </c>
      <c r="R8" s="16" t="s">
        <v>173</v>
      </c>
      <c r="S8" s="16" t="s">
        <v>173</v>
      </c>
      <c r="T8" s="16" t="s">
        <v>173</v>
      </c>
      <c r="U8" s="16" t="s">
        <v>173</v>
      </c>
      <c r="V8" s="16" t="s">
        <v>173</v>
      </c>
      <c r="W8" s="16" t="s">
        <v>173</v>
      </c>
      <c r="X8" s="16" t="s">
        <v>173</v>
      </c>
      <c r="Y8" s="16" t="s">
        <v>173</v>
      </c>
      <c r="Z8" s="16" t="s">
        <v>173</v>
      </c>
      <c r="AA8" s="16" t="s">
        <v>173</v>
      </c>
      <c r="AB8" s="16" t="s">
        <v>173</v>
      </c>
      <c r="AC8" s="16" t="s">
        <v>173</v>
      </c>
      <c r="AD8" s="84" t="s">
        <v>173</v>
      </c>
      <c r="AE8" s="84"/>
      <c r="AF8" s="84"/>
      <c r="AG8" s="84"/>
      <c r="AH8" s="3"/>
      <c r="AI8" s="3"/>
      <c r="AJ8" s="3"/>
      <c r="AK8" s="3"/>
      <c r="AL8" s="3"/>
      <c r="AM8" s="3"/>
      <c r="AN8" s="3"/>
      <c r="AO8" s="3">
        <v>8.9200000000000008E-3</v>
      </c>
      <c r="AP8" s="3" t="s">
        <v>201</v>
      </c>
      <c r="AQ8" s="3"/>
      <c r="AR8" s="3"/>
      <c r="AS8" s="3" t="s">
        <v>202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84"/>
      <c r="BE8" s="84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</row>
    <row r="9" spans="1:137" x14ac:dyDescent="0.25">
      <c r="A9" s="15" t="s">
        <v>173</v>
      </c>
      <c r="B9" s="16" t="s">
        <v>173</v>
      </c>
      <c r="C9" s="16" t="s">
        <v>173</v>
      </c>
      <c r="D9" s="16" t="s">
        <v>173</v>
      </c>
      <c r="E9" s="16" t="s">
        <v>173</v>
      </c>
      <c r="F9" s="16" t="s">
        <v>173</v>
      </c>
      <c r="G9" s="16" t="s">
        <v>173</v>
      </c>
      <c r="H9" s="16" t="s">
        <v>173</v>
      </c>
      <c r="I9" s="16" t="s">
        <v>173</v>
      </c>
      <c r="J9" s="16" t="s">
        <v>173</v>
      </c>
      <c r="K9" s="16" t="s">
        <v>173</v>
      </c>
      <c r="L9" s="3"/>
      <c r="M9" s="17" t="s">
        <v>173</v>
      </c>
      <c r="N9" s="15" t="s">
        <v>173</v>
      </c>
      <c r="O9" s="16" t="s">
        <v>173</v>
      </c>
      <c r="P9" s="16" t="s">
        <v>173</v>
      </c>
      <c r="Q9" s="16" t="s">
        <v>173</v>
      </c>
      <c r="R9" s="16" t="s">
        <v>173</v>
      </c>
      <c r="S9" s="16" t="s">
        <v>173</v>
      </c>
      <c r="T9" s="16" t="s">
        <v>173</v>
      </c>
      <c r="U9" s="16" t="s">
        <v>173</v>
      </c>
      <c r="V9" s="16" t="s">
        <v>173</v>
      </c>
      <c r="W9" s="16" t="s">
        <v>173</v>
      </c>
      <c r="X9" s="16" t="s">
        <v>173</v>
      </c>
      <c r="Y9" s="16" t="s">
        <v>173</v>
      </c>
      <c r="Z9" s="16" t="s">
        <v>173</v>
      </c>
      <c r="AA9" s="16" t="s">
        <v>173</v>
      </c>
      <c r="AB9" s="16" t="s">
        <v>173</v>
      </c>
      <c r="AC9" s="16" t="s">
        <v>173</v>
      </c>
      <c r="AD9" s="84" t="s">
        <v>173</v>
      </c>
      <c r="AE9" s="84"/>
      <c r="AF9" s="84"/>
      <c r="AG9" s="84"/>
      <c r="AH9" s="3"/>
      <c r="AI9" s="25"/>
      <c r="AJ9" s="25"/>
      <c r="AK9" s="25"/>
      <c r="AL9" s="26" t="s">
        <v>191</v>
      </c>
      <c r="AM9" s="3" t="s">
        <v>203</v>
      </c>
      <c r="AN9" s="84"/>
      <c r="AO9" s="84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84"/>
      <c r="BE9" s="84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4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</row>
    <row r="10" spans="1:13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84"/>
      <c r="M10" s="8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84"/>
      <c r="AD10" s="84"/>
      <c r="AE10" s="3"/>
      <c r="AF10" s="84"/>
      <c r="AG10" s="84"/>
      <c r="AH10" s="3"/>
      <c r="AI10" s="3"/>
      <c r="AJ10" s="3"/>
      <c r="AK10" s="3"/>
      <c r="AL10" s="3"/>
      <c r="AM10" s="3"/>
      <c r="AN10" s="84"/>
      <c r="AO10" s="84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84"/>
      <c r="BE10" s="84"/>
      <c r="BF10" s="4"/>
      <c r="BG10" s="3"/>
      <c r="BH10" s="3"/>
      <c r="BI10" s="3"/>
      <c r="BJ10" s="3"/>
      <c r="BK10" s="4"/>
      <c r="BL10" s="3"/>
      <c r="BM10" s="3"/>
      <c r="BN10" s="3"/>
      <c r="BO10" s="3"/>
      <c r="BP10" s="3"/>
      <c r="BQ10" s="3"/>
      <c r="BR10" s="4"/>
      <c r="BS10" s="3"/>
      <c r="BT10" s="3"/>
      <c r="BU10" s="3"/>
      <c r="BV10" s="3"/>
      <c r="BW10" s="3"/>
      <c r="BX10" s="3"/>
      <c r="BY10" s="4"/>
      <c r="BZ10" s="3"/>
      <c r="CA10" s="3"/>
      <c r="CB10" s="3"/>
      <c r="CC10" s="3"/>
      <c r="CD10" s="3"/>
      <c r="CE10" s="3"/>
      <c r="CF10" s="4"/>
      <c r="CG10" s="3"/>
      <c r="CH10" s="3"/>
      <c r="CI10" s="3"/>
      <c r="CJ10" s="3"/>
      <c r="CK10" s="3"/>
      <c r="CL10" s="3"/>
      <c r="CM10" s="4"/>
      <c r="CN10" s="3"/>
      <c r="CO10" s="3"/>
      <c r="CP10" s="3"/>
      <c r="CQ10" s="3"/>
      <c r="CR10" s="3"/>
      <c r="CS10" s="3"/>
      <c r="CT10" s="4"/>
      <c r="CU10" s="3"/>
      <c r="CV10" s="3"/>
      <c r="CW10" s="3"/>
      <c r="CX10" s="3"/>
      <c r="CY10" s="3"/>
      <c r="CZ10" s="3"/>
      <c r="DA10" s="4"/>
      <c r="DB10" s="3"/>
      <c r="DC10" s="3"/>
      <c r="DD10" s="3"/>
      <c r="DE10" s="3"/>
      <c r="DF10" s="3"/>
      <c r="DG10" s="3"/>
      <c r="DH10" s="4"/>
      <c r="DI10" s="3"/>
      <c r="DJ10" s="3"/>
      <c r="DK10" s="3"/>
      <c r="DL10" s="3"/>
      <c r="DM10" s="3"/>
      <c r="DN10" s="3"/>
      <c r="DO10" s="4"/>
      <c r="DP10" s="3"/>
      <c r="DQ10" s="3"/>
      <c r="DR10" s="3"/>
      <c r="DS10" s="3"/>
      <c r="DT10" s="3"/>
      <c r="DU10" s="3"/>
      <c r="DV10" s="4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</row>
    <row r="11" spans="1:13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84"/>
      <c r="M11" s="84"/>
      <c r="N11" s="6" t="s">
        <v>204</v>
      </c>
      <c r="O11" s="3"/>
      <c r="P11" s="3"/>
      <c r="Q11" s="3"/>
      <c r="R11" s="3"/>
      <c r="S11" s="6" t="s">
        <v>173</v>
      </c>
      <c r="T11" s="6" t="s">
        <v>173</v>
      </c>
      <c r="U11" s="6" t="s">
        <v>173</v>
      </c>
      <c r="V11" s="6" t="s">
        <v>173</v>
      </c>
      <c r="W11" s="6" t="s">
        <v>173</v>
      </c>
      <c r="X11" s="6" t="s">
        <v>173</v>
      </c>
      <c r="Y11" s="6" t="s">
        <v>173</v>
      </c>
      <c r="Z11" s="6" t="s">
        <v>173</v>
      </c>
      <c r="AA11" s="6" t="s">
        <v>173</v>
      </c>
      <c r="AB11" s="6" t="s">
        <v>173</v>
      </c>
      <c r="AC11" s="85" t="s">
        <v>173</v>
      </c>
      <c r="AD11" s="85"/>
      <c r="AE11" s="3"/>
      <c r="AF11" s="84"/>
      <c r="AG11" s="84"/>
      <c r="AH11" s="3"/>
      <c r="AI11" s="3"/>
      <c r="AJ11" s="3"/>
      <c r="AK11" s="3"/>
      <c r="AL11" s="3"/>
      <c r="AM11" s="3"/>
      <c r="AN11" s="84"/>
      <c r="AO11" s="84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84"/>
      <c r="BE11" s="84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</row>
    <row r="12" spans="1:13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84"/>
      <c r="M12" s="88"/>
      <c r="N12" s="16">
        <v>0</v>
      </c>
      <c r="O12" s="16" t="s">
        <v>173</v>
      </c>
      <c r="P12" s="16" t="s">
        <v>173</v>
      </c>
      <c r="Q12" s="16" t="s">
        <v>173</v>
      </c>
      <c r="R12" s="16" t="s">
        <v>173</v>
      </c>
      <c r="S12" s="16" t="s">
        <v>173</v>
      </c>
      <c r="T12" s="16" t="s">
        <v>173</v>
      </c>
      <c r="U12" s="16" t="s">
        <v>173</v>
      </c>
      <c r="V12" s="16" t="s">
        <v>173</v>
      </c>
      <c r="W12" s="16" t="s">
        <v>173</v>
      </c>
      <c r="X12" s="16" t="s">
        <v>173</v>
      </c>
      <c r="Y12" s="16" t="s">
        <v>173</v>
      </c>
      <c r="Z12" s="16" t="s">
        <v>173</v>
      </c>
      <c r="AA12" s="16" t="s">
        <v>173</v>
      </c>
      <c r="AB12" s="16" t="s">
        <v>173</v>
      </c>
      <c r="AC12" s="16" t="s">
        <v>173</v>
      </c>
      <c r="AD12" s="84" t="s">
        <v>173</v>
      </c>
      <c r="AE12" s="84"/>
      <c r="AF12" s="84"/>
      <c r="AG12" s="84"/>
      <c r="AH12" s="3"/>
      <c r="AI12" s="3"/>
      <c r="AJ12" s="3"/>
      <c r="AK12" s="3"/>
      <c r="AL12" s="3"/>
      <c r="AM12" s="3"/>
      <c r="AN12" s="84"/>
      <c r="AO12" s="84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84"/>
      <c r="BE12" s="84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</row>
    <row r="13" spans="1:137" x14ac:dyDescent="0.25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84"/>
      <c r="M13" s="8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84"/>
      <c r="AD13" s="84"/>
      <c r="AE13" s="3"/>
      <c r="AF13" s="84"/>
      <c r="AG13" s="84"/>
      <c r="AH13" s="3"/>
      <c r="AI13" s="3"/>
      <c r="AJ13" s="3"/>
      <c r="AK13" s="3"/>
      <c r="AL13" s="3"/>
      <c r="AM13" s="3"/>
      <c r="AN13" s="84"/>
      <c r="AO13" s="84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84"/>
      <c r="BE13" s="84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</row>
    <row r="14" spans="1:137" x14ac:dyDescent="0.25">
      <c r="A14" s="5"/>
      <c r="B14" s="3" t="s">
        <v>205</v>
      </c>
      <c r="C14" s="3"/>
      <c r="D14" s="3"/>
      <c r="E14" s="3"/>
      <c r="F14" s="3"/>
      <c r="G14" s="18">
        <v>1</v>
      </c>
      <c r="H14" s="3" t="s">
        <v>206</v>
      </c>
      <c r="I14" s="3"/>
      <c r="J14" s="3"/>
      <c r="K14" s="3"/>
      <c r="L14" s="84"/>
      <c r="M14" s="88"/>
      <c r="N14" s="19">
        <v>1</v>
      </c>
      <c r="O14" s="3" t="s">
        <v>207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84"/>
      <c r="AD14" s="84"/>
      <c r="AE14" s="3" t="s">
        <v>208</v>
      </c>
      <c r="AF14" s="84"/>
      <c r="AG14" s="84"/>
      <c r="AH14" s="3" t="s">
        <v>209</v>
      </c>
      <c r="AI14" s="3"/>
      <c r="AJ14" s="3"/>
      <c r="AK14" s="3"/>
      <c r="AL14" s="3"/>
      <c r="AM14" s="3"/>
      <c r="AN14" s="3"/>
      <c r="AO14" s="6" t="s">
        <v>210</v>
      </c>
      <c r="AP14" s="3"/>
      <c r="AQ14" s="3"/>
      <c r="AR14" s="3"/>
      <c r="AS14" s="3"/>
      <c r="AT14" s="3"/>
      <c r="AU14" s="6" t="s">
        <v>173</v>
      </c>
      <c r="AV14" s="6" t="s">
        <v>173</v>
      </c>
      <c r="AW14" s="6" t="s">
        <v>173</v>
      </c>
      <c r="AX14" s="6" t="s">
        <v>173</v>
      </c>
      <c r="AY14" s="3"/>
      <c r="AZ14" s="3"/>
      <c r="BA14" s="3"/>
      <c r="BB14" s="3"/>
      <c r="BC14" s="3"/>
      <c r="BD14" s="3"/>
      <c r="BE14" s="3" t="s">
        <v>211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</row>
    <row r="15" spans="1:137" x14ac:dyDescent="0.25">
      <c r="A15" s="3"/>
      <c r="B15" s="27" t="s">
        <v>212</v>
      </c>
      <c r="C15" s="27" t="s">
        <v>213</v>
      </c>
      <c r="D15" s="27" t="s">
        <v>214</v>
      </c>
      <c r="E15" s="27" t="s">
        <v>215</v>
      </c>
      <c r="F15" s="27" t="s">
        <v>216</v>
      </c>
      <c r="G15" s="27" t="s">
        <v>217</v>
      </c>
      <c r="H15" s="27" t="s">
        <v>218</v>
      </c>
      <c r="I15" s="27" t="s">
        <v>219</v>
      </c>
      <c r="J15" s="27" t="s">
        <v>220</v>
      </c>
      <c r="K15" s="27" t="s">
        <v>221</v>
      </c>
      <c r="L15" s="84"/>
      <c r="M15" s="84"/>
      <c r="N15" s="28">
        <v>1</v>
      </c>
      <c r="O15" s="28">
        <v>2</v>
      </c>
      <c r="P15" s="28">
        <v>3</v>
      </c>
      <c r="Q15" s="28">
        <v>4</v>
      </c>
      <c r="R15" s="28">
        <v>5</v>
      </c>
      <c r="S15" s="28">
        <v>6</v>
      </c>
      <c r="T15" s="28">
        <v>7</v>
      </c>
      <c r="U15" s="28">
        <v>8</v>
      </c>
      <c r="V15" s="28">
        <v>9</v>
      </c>
      <c r="W15" s="28">
        <v>10</v>
      </c>
      <c r="X15" s="28">
        <v>11</v>
      </c>
      <c r="Y15" s="28">
        <v>12</v>
      </c>
      <c r="Z15" s="28">
        <v>13</v>
      </c>
      <c r="AA15" s="28">
        <v>14</v>
      </c>
      <c r="AB15" s="28">
        <v>15</v>
      </c>
      <c r="AC15" s="89">
        <v>16</v>
      </c>
      <c r="AD15" s="89"/>
      <c r="AE15" s="6" t="s">
        <v>222</v>
      </c>
      <c r="AF15" s="85" t="s">
        <v>173</v>
      </c>
      <c r="AG15" s="85"/>
      <c r="AH15" s="6" t="s">
        <v>223</v>
      </c>
      <c r="AI15" s="3"/>
      <c r="AJ15" s="3"/>
      <c r="AK15" s="3"/>
      <c r="AL15" s="6" t="s">
        <v>173</v>
      </c>
      <c r="AM15" s="6" t="s">
        <v>173</v>
      </c>
      <c r="AN15" s="3"/>
      <c r="AO15" s="29" t="s">
        <v>224</v>
      </c>
      <c r="AP15" s="3"/>
      <c r="AQ15" s="3" t="s">
        <v>173</v>
      </c>
      <c r="AR15" s="3" t="s">
        <v>173</v>
      </c>
      <c r="AS15" s="30" t="s">
        <v>173</v>
      </c>
      <c r="AT15" s="29" t="s">
        <v>225</v>
      </c>
      <c r="AU15" s="3"/>
      <c r="AV15" s="3" t="s">
        <v>173</v>
      </c>
      <c r="AW15" s="3" t="s">
        <v>173</v>
      </c>
      <c r="AX15" s="30" t="s">
        <v>173</v>
      </c>
      <c r="AY15" s="29" t="s">
        <v>226</v>
      </c>
      <c r="AZ15" s="3"/>
      <c r="BA15" s="31" t="s">
        <v>173</v>
      </c>
      <c r="BB15" s="31" t="s">
        <v>173</v>
      </c>
      <c r="BC15" s="32" t="s">
        <v>173</v>
      </c>
      <c r="BD15" s="3"/>
      <c r="BE15" s="90" t="s">
        <v>227</v>
      </c>
      <c r="BF15" s="91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</row>
    <row r="16" spans="1:137" x14ac:dyDescent="0.25">
      <c r="A16" s="33" t="s">
        <v>228</v>
      </c>
      <c r="B16" s="92" t="s">
        <v>178</v>
      </c>
      <c r="C16" s="92" t="s">
        <v>179</v>
      </c>
      <c r="D16" s="92" t="s">
        <v>180</v>
      </c>
      <c r="E16" s="92" t="s">
        <v>181</v>
      </c>
      <c r="F16" s="92" t="s">
        <v>182</v>
      </c>
      <c r="G16" s="92" t="s">
        <v>173</v>
      </c>
      <c r="H16" s="92" t="s">
        <v>183</v>
      </c>
      <c r="I16" s="92" t="s">
        <v>9</v>
      </c>
      <c r="J16" s="92" t="s">
        <v>184</v>
      </c>
      <c r="K16" s="92" t="s">
        <v>10</v>
      </c>
      <c r="L16" s="95" t="s">
        <v>173</v>
      </c>
      <c r="M16" s="88"/>
      <c r="N16" s="94" t="s">
        <v>185</v>
      </c>
      <c r="O16" s="94" t="s">
        <v>229</v>
      </c>
      <c r="P16" s="94" t="s">
        <v>230</v>
      </c>
      <c r="Q16" s="94" t="s">
        <v>231</v>
      </c>
      <c r="R16" s="94" t="s">
        <v>232</v>
      </c>
      <c r="S16" s="94" t="s">
        <v>233</v>
      </c>
      <c r="T16" s="94" t="s">
        <v>234</v>
      </c>
      <c r="U16" s="94" t="s">
        <v>235</v>
      </c>
      <c r="V16" s="94" t="s">
        <v>236</v>
      </c>
      <c r="W16" s="94" t="s">
        <v>173</v>
      </c>
      <c r="X16" s="94" t="s">
        <v>173</v>
      </c>
      <c r="Y16" s="94" t="s">
        <v>173</v>
      </c>
      <c r="Z16" s="94" t="s">
        <v>173</v>
      </c>
      <c r="AA16" s="94" t="s">
        <v>173</v>
      </c>
      <c r="AB16" s="94" t="s">
        <v>173</v>
      </c>
      <c r="AC16" s="94" t="s">
        <v>173</v>
      </c>
      <c r="AD16" s="96" t="s">
        <v>173</v>
      </c>
      <c r="AE16" s="97" t="s">
        <v>237</v>
      </c>
      <c r="AF16" s="98" t="s">
        <v>173</v>
      </c>
      <c r="AG16" s="100" t="s">
        <v>173</v>
      </c>
      <c r="AH16" s="97" t="s">
        <v>178</v>
      </c>
      <c r="AI16" s="101" t="s">
        <v>179</v>
      </c>
      <c r="AJ16" s="101" t="s">
        <v>180</v>
      </c>
      <c r="AK16" s="101" t="s">
        <v>181</v>
      </c>
      <c r="AL16" s="101" t="s">
        <v>238</v>
      </c>
      <c r="AM16" s="99" t="s">
        <v>239</v>
      </c>
      <c r="AN16" s="100" t="s">
        <v>173</v>
      </c>
      <c r="AO16" s="97" t="s">
        <v>189</v>
      </c>
      <c r="AP16" s="101" t="s">
        <v>240</v>
      </c>
      <c r="AQ16" s="101" t="s">
        <v>241</v>
      </c>
      <c r="AR16" s="102">
        <v>0</v>
      </c>
      <c r="AS16" s="103">
        <v>0</v>
      </c>
      <c r="AT16" s="97" t="s">
        <v>189</v>
      </c>
      <c r="AU16" s="101" t="s">
        <v>240</v>
      </c>
      <c r="AV16" s="101" t="s">
        <v>241</v>
      </c>
      <c r="AW16" s="102">
        <v>0</v>
      </c>
      <c r="AX16" s="103">
        <v>0</v>
      </c>
      <c r="AY16" s="97" t="s">
        <v>189</v>
      </c>
      <c r="AZ16" s="101" t="s">
        <v>240</v>
      </c>
      <c r="BA16" s="101" t="s">
        <v>241</v>
      </c>
      <c r="BB16" s="102">
        <v>0</v>
      </c>
      <c r="BC16" s="103">
        <v>0</v>
      </c>
      <c r="BD16" s="100" t="s">
        <v>173</v>
      </c>
      <c r="BE16" s="97" t="s">
        <v>242</v>
      </c>
      <c r="BF16" s="99" t="s">
        <v>243</v>
      </c>
      <c r="BG16" s="97" t="s">
        <v>173</v>
      </c>
      <c r="BH16" s="101"/>
      <c r="BI16" s="101"/>
      <c r="BJ16" s="101"/>
      <c r="BK16" s="101"/>
      <c r="BL16" s="101"/>
      <c r="BM16" s="101"/>
      <c r="BN16" s="101"/>
      <c r="BO16" s="101"/>
      <c r="BP16" s="101"/>
      <c r="BQ16" s="84"/>
      <c r="BR16" s="101"/>
      <c r="BS16" s="101"/>
      <c r="BT16" s="101"/>
      <c r="BU16" s="101"/>
      <c r="BV16" s="101"/>
      <c r="BW16" s="101"/>
      <c r="BX16" s="84"/>
      <c r="BY16" s="101"/>
      <c r="BZ16" s="101"/>
      <c r="CA16" s="101"/>
      <c r="CB16" s="101"/>
      <c r="CC16" s="101"/>
      <c r="CD16" s="101"/>
      <c r="CE16" s="84"/>
      <c r="CF16" s="101"/>
      <c r="CG16" s="101"/>
      <c r="CH16" s="101"/>
      <c r="CI16" s="101"/>
      <c r="CJ16" s="101"/>
      <c r="CK16" s="101"/>
      <c r="CL16" s="84"/>
      <c r="CM16" s="101"/>
      <c r="CN16" s="101"/>
      <c r="CO16" s="101"/>
      <c r="CP16" s="101"/>
      <c r="CQ16" s="101"/>
      <c r="CR16" s="101"/>
      <c r="CS16" s="84"/>
      <c r="CT16" s="101"/>
      <c r="CU16" s="101"/>
      <c r="CV16" s="101"/>
      <c r="CW16" s="101"/>
      <c r="CX16" s="101"/>
      <c r="CY16" s="101"/>
      <c r="CZ16" s="84"/>
      <c r="DA16" s="101"/>
      <c r="DB16" s="101"/>
      <c r="DC16" s="101"/>
      <c r="DD16" s="101"/>
      <c r="DE16" s="101"/>
      <c r="DF16" s="101"/>
      <c r="DG16" s="84"/>
      <c r="DH16" s="101"/>
      <c r="DI16" s="101"/>
      <c r="DJ16" s="101"/>
      <c r="DK16" s="101"/>
      <c r="DL16" s="101"/>
      <c r="DM16" s="101"/>
      <c r="DN16" s="84"/>
      <c r="DO16" s="101"/>
      <c r="DP16" s="101"/>
      <c r="DQ16" s="101"/>
      <c r="DR16" s="101"/>
      <c r="DS16" s="101"/>
      <c r="DT16" s="101"/>
      <c r="DU16" s="84"/>
      <c r="DV16" s="101"/>
      <c r="DW16" s="101"/>
      <c r="DX16" s="101"/>
      <c r="DY16" s="101"/>
      <c r="DZ16" s="101"/>
      <c r="EA16" s="101"/>
      <c r="EB16" s="84"/>
      <c r="EC16" s="84"/>
      <c r="ED16" s="84"/>
      <c r="EE16" s="84"/>
      <c r="EF16" s="84"/>
      <c r="EG16" s="84"/>
    </row>
    <row r="17" spans="1:137" x14ac:dyDescent="0.25">
      <c r="A17" s="33" t="s">
        <v>244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5"/>
      <c r="M17" s="88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6"/>
      <c r="AE17" s="97"/>
      <c r="AF17" s="98"/>
      <c r="AG17" s="100"/>
      <c r="AH17" s="97"/>
      <c r="AI17" s="101"/>
      <c r="AJ17" s="101"/>
      <c r="AK17" s="101"/>
      <c r="AL17" s="101"/>
      <c r="AM17" s="99"/>
      <c r="AN17" s="100"/>
      <c r="AO17" s="97"/>
      <c r="AP17" s="101"/>
      <c r="AQ17" s="101"/>
      <c r="AR17" s="102"/>
      <c r="AS17" s="103"/>
      <c r="AT17" s="97"/>
      <c r="AU17" s="101"/>
      <c r="AV17" s="101"/>
      <c r="AW17" s="102"/>
      <c r="AX17" s="103"/>
      <c r="AY17" s="97"/>
      <c r="AZ17" s="101"/>
      <c r="BA17" s="101"/>
      <c r="BB17" s="102"/>
      <c r="BC17" s="103"/>
      <c r="BD17" s="100"/>
      <c r="BE17" s="97"/>
      <c r="BF17" s="99"/>
      <c r="BG17" s="97"/>
      <c r="BH17" s="101"/>
      <c r="BI17" s="101"/>
      <c r="BJ17" s="101"/>
      <c r="BK17" s="101"/>
      <c r="BL17" s="101"/>
      <c r="BM17" s="101"/>
      <c r="BN17" s="101"/>
      <c r="BO17" s="101"/>
      <c r="BP17" s="101"/>
      <c r="BQ17" s="84"/>
      <c r="BR17" s="101"/>
      <c r="BS17" s="101"/>
      <c r="BT17" s="101"/>
      <c r="BU17" s="101"/>
      <c r="BV17" s="101"/>
      <c r="BW17" s="101"/>
      <c r="BX17" s="84"/>
      <c r="BY17" s="101"/>
      <c r="BZ17" s="101"/>
      <c r="CA17" s="101"/>
      <c r="CB17" s="101"/>
      <c r="CC17" s="101"/>
      <c r="CD17" s="101"/>
      <c r="CE17" s="84"/>
      <c r="CF17" s="101"/>
      <c r="CG17" s="101"/>
      <c r="CH17" s="101"/>
      <c r="CI17" s="101"/>
      <c r="CJ17" s="101"/>
      <c r="CK17" s="101"/>
      <c r="CL17" s="84"/>
      <c r="CM17" s="101"/>
      <c r="CN17" s="101"/>
      <c r="CO17" s="101"/>
      <c r="CP17" s="101"/>
      <c r="CQ17" s="101"/>
      <c r="CR17" s="101"/>
      <c r="CS17" s="84"/>
      <c r="CT17" s="101"/>
      <c r="CU17" s="101"/>
      <c r="CV17" s="101"/>
      <c r="CW17" s="101"/>
      <c r="CX17" s="101"/>
      <c r="CY17" s="101"/>
      <c r="CZ17" s="84"/>
      <c r="DA17" s="101"/>
      <c r="DB17" s="101"/>
      <c r="DC17" s="101"/>
      <c r="DD17" s="101"/>
      <c r="DE17" s="101"/>
      <c r="DF17" s="101"/>
      <c r="DG17" s="84"/>
      <c r="DH17" s="101"/>
      <c r="DI17" s="101"/>
      <c r="DJ17" s="101"/>
      <c r="DK17" s="101"/>
      <c r="DL17" s="101"/>
      <c r="DM17" s="101"/>
      <c r="DN17" s="84"/>
      <c r="DO17" s="101"/>
      <c r="DP17" s="101"/>
      <c r="DQ17" s="101"/>
      <c r="DR17" s="101"/>
      <c r="DS17" s="101"/>
      <c r="DT17" s="101"/>
      <c r="DU17" s="84"/>
      <c r="DV17" s="101"/>
      <c r="DW17" s="101"/>
      <c r="DX17" s="101"/>
      <c r="DY17" s="101"/>
      <c r="DZ17" s="101"/>
      <c r="EA17" s="101"/>
      <c r="EB17" s="84"/>
      <c r="EC17" s="84"/>
      <c r="ED17" s="84"/>
      <c r="EE17" s="84"/>
      <c r="EF17" s="84"/>
      <c r="EG17" s="84"/>
    </row>
    <row r="18" spans="1:137" x14ac:dyDescent="0.25">
      <c r="A18" s="5"/>
      <c r="B18" s="5"/>
      <c r="C18" s="5"/>
      <c r="D18" s="5"/>
      <c r="E18" s="5"/>
      <c r="F18" s="5"/>
      <c r="G18" s="5"/>
      <c r="H18" s="3"/>
      <c r="I18" s="3"/>
      <c r="J18" s="3"/>
      <c r="K18" s="3"/>
      <c r="L18" s="3"/>
      <c r="M18" s="3" t="s">
        <v>245</v>
      </c>
      <c r="N18" s="35" t="s">
        <v>185</v>
      </c>
      <c r="O18" s="36" t="s">
        <v>246</v>
      </c>
      <c r="P18" s="36" t="s">
        <v>246</v>
      </c>
      <c r="Q18" s="36" t="s">
        <v>246</v>
      </c>
      <c r="R18" s="36" t="s">
        <v>247</v>
      </c>
      <c r="S18" s="36" t="s">
        <v>247</v>
      </c>
      <c r="T18" s="36" t="s">
        <v>247</v>
      </c>
      <c r="U18" s="36" t="s">
        <v>246</v>
      </c>
      <c r="V18" s="36" t="s">
        <v>246</v>
      </c>
      <c r="W18" s="36" t="s">
        <v>173</v>
      </c>
      <c r="X18" s="36" t="s">
        <v>173</v>
      </c>
      <c r="Y18" s="36" t="s">
        <v>173</v>
      </c>
      <c r="Z18" s="36" t="s">
        <v>173</v>
      </c>
      <c r="AA18" s="36" t="s">
        <v>173</v>
      </c>
      <c r="AB18" s="36" t="s">
        <v>173</v>
      </c>
      <c r="AC18" s="36" t="s">
        <v>173</v>
      </c>
      <c r="AD18" s="3"/>
      <c r="AE18" s="34" t="s">
        <v>173</v>
      </c>
      <c r="AF18" s="30" t="s">
        <v>173</v>
      </c>
      <c r="AG18" s="3"/>
      <c r="AH18" s="34" t="s">
        <v>173</v>
      </c>
      <c r="AI18" s="3"/>
      <c r="AJ18" s="3"/>
      <c r="AK18" s="3"/>
      <c r="AL18" s="3"/>
      <c r="AM18" s="30" t="s">
        <v>173</v>
      </c>
      <c r="AN18" s="3"/>
      <c r="AO18" s="34" t="s">
        <v>173</v>
      </c>
      <c r="AP18" s="3"/>
      <c r="AQ18" s="3"/>
      <c r="AR18" s="3"/>
      <c r="AS18" s="30" t="s">
        <v>173</v>
      </c>
      <c r="AT18" s="3" t="s">
        <v>173</v>
      </c>
      <c r="AU18" s="3"/>
      <c r="AV18" s="3"/>
      <c r="AW18" s="3"/>
      <c r="AX18" s="30" t="s">
        <v>173</v>
      </c>
      <c r="AY18" s="3" t="s">
        <v>173</v>
      </c>
      <c r="AZ18" s="3"/>
      <c r="BA18" s="3"/>
      <c r="BB18" s="3"/>
      <c r="BC18" s="30" t="s">
        <v>173</v>
      </c>
      <c r="BD18" s="3"/>
      <c r="BE18" s="34" t="s">
        <v>248</v>
      </c>
      <c r="BF18" s="30" t="s">
        <v>173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</row>
    <row r="19" spans="1:137" x14ac:dyDescent="0.25">
      <c r="A19" s="3"/>
      <c r="B19" s="3" t="s">
        <v>192</v>
      </c>
      <c r="C19" s="3" t="s">
        <v>192</v>
      </c>
      <c r="D19" s="3" t="s">
        <v>192</v>
      </c>
      <c r="E19" s="3" t="s">
        <v>192</v>
      </c>
      <c r="F19" s="3" t="s">
        <v>192</v>
      </c>
      <c r="G19" s="3" t="s">
        <v>192</v>
      </c>
      <c r="H19" s="3" t="s">
        <v>249</v>
      </c>
      <c r="I19" s="3" t="s">
        <v>249</v>
      </c>
      <c r="J19" s="3" t="s">
        <v>249</v>
      </c>
      <c r="K19" s="3" t="s">
        <v>249</v>
      </c>
      <c r="L19" s="3"/>
      <c r="M19" s="3"/>
      <c r="N19" s="3" t="s">
        <v>196</v>
      </c>
      <c r="O19" s="3" t="s">
        <v>196</v>
      </c>
      <c r="P19" s="3" t="s">
        <v>196</v>
      </c>
      <c r="Q19" s="3" t="s">
        <v>196</v>
      </c>
      <c r="R19" s="3" t="s">
        <v>196</v>
      </c>
      <c r="S19" s="3" t="s">
        <v>196</v>
      </c>
      <c r="T19" s="3" t="s">
        <v>196</v>
      </c>
      <c r="U19" s="3" t="s">
        <v>196</v>
      </c>
      <c r="V19" s="3" t="s">
        <v>196</v>
      </c>
      <c r="W19" s="3" t="s">
        <v>196</v>
      </c>
      <c r="X19" s="3" t="s">
        <v>196</v>
      </c>
      <c r="Y19" s="3" t="s">
        <v>196</v>
      </c>
      <c r="Z19" s="3" t="s">
        <v>196</v>
      </c>
      <c r="AA19" s="3" t="s">
        <v>196</v>
      </c>
      <c r="AB19" s="3" t="s">
        <v>196</v>
      </c>
      <c r="AC19" s="3" t="s">
        <v>196</v>
      </c>
      <c r="AD19" s="3"/>
      <c r="AE19" s="17" t="s">
        <v>250</v>
      </c>
      <c r="AF19" s="21" t="s">
        <v>251</v>
      </c>
      <c r="AG19" s="3"/>
      <c r="AH19" s="17" t="s">
        <v>192</v>
      </c>
      <c r="AI19" s="6" t="s">
        <v>192</v>
      </c>
      <c r="AJ19" s="6" t="s">
        <v>192</v>
      </c>
      <c r="AK19" s="6" t="s">
        <v>192</v>
      </c>
      <c r="AL19" s="6" t="s">
        <v>192</v>
      </c>
      <c r="AM19" s="21" t="s">
        <v>192</v>
      </c>
      <c r="AN19" s="3"/>
      <c r="AO19" s="17" t="s">
        <v>192</v>
      </c>
      <c r="AP19" s="6" t="s">
        <v>192</v>
      </c>
      <c r="AQ19" s="6" t="s">
        <v>192</v>
      </c>
      <c r="AR19" s="6" t="s">
        <v>192</v>
      </c>
      <c r="AS19" s="21" t="s">
        <v>192</v>
      </c>
      <c r="AT19" s="6" t="s">
        <v>196</v>
      </c>
      <c r="AU19" s="6" t="s">
        <v>196</v>
      </c>
      <c r="AV19" s="6" t="s">
        <v>196</v>
      </c>
      <c r="AW19" s="6" t="s">
        <v>196</v>
      </c>
      <c r="AX19" s="21" t="s">
        <v>196</v>
      </c>
      <c r="AY19" s="6" t="s">
        <v>196</v>
      </c>
      <c r="AZ19" s="6" t="s">
        <v>196</v>
      </c>
      <c r="BA19" s="6" t="s">
        <v>196</v>
      </c>
      <c r="BB19" s="6" t="s">
        <v>196</v>
      </c>
      <c r="BC19" s="21" t="s">
        <v>196</v>
      </c>
      <c r="BD19" s="3"/>
      <c r="BE19" s="17" t="s">
        <v>252</v>
      </c>
      <c r="BF19" s="21" t="s">
        <v>253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</row>
    <row r="20" spans="1:137" x14ac:dyDescent="0.25">
      <c r="A20" s="37">
        <v>2026</v>
      </c>
      <c r="B20" s="39">
        <v>0.06</v>
      </c>
      <c r="C20" s="39">
        <v>0.04</v>
      </c>
      <c r="D20" s="39">
        <v>0.06</v>
      </c>
      <c r="E20" s="39">
        <v>0.04</v>
      </c>
      <c r="F20" s="39">
        <v>0.04</v>
      </c>
      <c r="G20" s="38" t="s">
        <v>173</v>
      </c>
      <c r="H20" s="39">
        <v>89.69</v>
      </c>
      <c r="I20" s="38">
        <v>0</v>
      </c>
      <c r="J20" s="39">
        <v>18.600000000000001</v>
      </c>
      <c r="K20" s="38">
        <v>0</v>
      </c>
      <c r="L20" s="3"/>
      <c r="M20" s="3"/>
      <c r="N20" s="39">
        <v>5.62</v>
      </c>
      <c r="O20" s="39">
        <v>24.68</v>
      </c>
      <c r="P20" s="39">
        <v>18.71</v>
      </c>
      <c r="Q20" s="39">
        <v>18.71</v>
      </c>
      <c r="R20" s="39">
        <v>25.38</v>
      </c>
      <c r="S20" s="39">
        <v>22.83</v>
      </c>
      <c r="T20" s="39">
        <v>22.83</v>
      </c>
      <c r="U20" s="39">
        <v>28.12</v>
      </c>
      <c r="V20" s="39">
        <v>27.09</v>
      </c>
      <c r="W20" s="38" t="s">
        <v>173</v>
      </c>
      <c r="X20" s="38" t="s">
        <v>173</v>
      </c>
      <c r="Y20" s="38" t="s">
        <v>173</v>
      </c>
      <c r="Z20" s="38" t="s">
        <v>173</v>
      </c>
      <c r="AA20" s="38" t="s">
        <v>173</v>
      </c>
      <c r="AB20" s="38" t="s">
        <v>173</v>
      </c>
      <c r="AC20" s="38" t="s">
        <v>173</v>
      </c>
      <c r="AD20" s="3"/>
      <c r="AE20" s="39">
        <v>1.7000000000000001E-2</v>
      </c>
      <c r="AF20" s="38" t="s">
        <v>173</v>
      </c>
      <c r="AG20" s="3"/>
      <c r="AH20" s="38" t="s">
        <v>173</v>
      </c>
      <c r="AI20" s="38" t="s">
        <v>173</v>
      </c>
      <c r="AJ20" s="38" t="s">
        <v>173</v>
      </c>
      <c r="AK20" s="38" t="s">
        <v>173</v>
      </c>
      <c r="AL20" s="38" t="s">
        <v>173</v>
      </c>
      <c r="AM20" s="38" t="s">
        <v>173</v>
      </c>
      <c r="AN20" s="3"/>
      <c r="AO20" s="39">
        <v>0.2</v>
      </c>
      <c r="AP20" s="39">
        <v>0.14000000000000001</v>
      </c>
      <c r="AQ20" s="39">
        <v>0.08</v>
      </c>
      <c r="AR20" s="38" t="s">
        <v>173</v>
      </c>
      <c r="AS20" s="38" t="s">
        <v>173</v>
      </c>
      <c r="AT20" s="39">
        <v>11.26</v>
      </c>
      <c r="AU20" s="39">
        <v>9.77</v>
      </c>
      <c r="AV20" s="39">
        <v>7.91</v>
      </c>
      <c r="AW20" s="38" t="s">
        <v>173</v>
      </c>
      <c r="AX20" s="38" t="s">
        <v>173</v>
      </c>
      <c r="AY20" s="39">
        <v>24.68</v>
      </c>
      <c r="AZ20" s="39">
        <v>18.71</v>
      </c>
      <c r="BA20" s="39">
        <v>18.71</v>
      </c>
      <c r="BB20" s="38" t="s">
        <v>173</v>
      </c>
      <c r="BC20" s="38" t="s">
        <v>173</v>
      </c>
      <c r="BD20" s="84"/>
      <c r="BE20" s="84"/>
      <c r="BF20" s="38" t="s">
        <v>173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</row>
    <row r="21" spans="1:137" x14ac:dyDescent="0.25">
      <c r="A21" s="4">
        <v>2027</v>
      </c>
      <c r="B21" s="39">
        <v>0.06</v>
      </c>
      <c r="C21" s="39">
        <v>0.05</v>
      </c>
      <c r="D21" s="39">
        <v>0.06</v>
      </c>
      <c r="E21" s="39">
        <v>0.05</v>
      </c>
      <c r="F21" s="39">
        <v>0.04</v>
      </c>
      <c r="G21" s="38" t="s">
        <v>173</v>
      </c>
      <c r="H21" s="39">
        <v>49.6</v>
      </c>
      <c r="I21" s="38">
        <v>0</v>
      </c>
      <c r="J21" s="39">
        <v>18.32</v>
      </c>
      <c r="K21" s="38">
        <v>0</v>
      </c>
      <c r="L21" s="3"/>
      <c r="M21" s="3"/>
      <c r="N21" s="39">
        <v>4.7300000000000004</v>
      </c>
      <c r="O21" s="39">
        <v>25</v>
      </c>
      <c r="P21" s="39">
        <v>18.239999999999998</v>
      </c>
      <c r="Q21" s="39">
        <v>18.190000000000001</v>
      </c>
      <c r="R21" s="39">
        <v>25.19</v>
      </c>
      <c r="S21" s="39">
        <v>22.61</v>
      </c>
      <c r="T21" s="39">
        <v>22.51</v>
      </c>
      <c r="U21" s="39">
        <v>28.19</v>
      </c>
      <c r="V21" s="39">
        <v>26.53</v>
      </c>
      <c r="W21" s="38" t="s">
        <v>173</v>
      </c>
      <c r="X21" s="38" t="s">
        <v>173</v>
      </c>
      <c r="Y21" s="38" t="s">
        <v>173</v>
      </c>
      <c r="Z21" s="38" t="s">
        <v>173</v>
      </c>
      <c r="AA21" s="38" t="s">
        <v>173</v>
      </c>
      <c r="AB21" s="38" t="s">
        <v>173</v>
      </c>
      <c r="AC21" s="38" t="s">
        <v>173</v>
      </c>
      <c r="AD21" s="3"/>
      <c r="AE21" s="39">
        <v>1.7000000000000001E-2</v>
      </c>
      <c r="AF21" s="38" t="s">
        <v>173</v>
      </c>
      <c r="AG21" s="3"/>
      <c r="AH21" s="38" t="s">
        <v>173</v>
      </c>
      <c r="AI21" s="38" t="s">
        <v>173</v>
      </c>
      <c r="AJ21" s="38" t="s">
        <v>173</v>
      </c>
      <c r="AK21" s="38" t="s">
        <v>173</v>
      </c>
      <c r="AL21" s="38" t="s">
        <v>173</v>
      </c>
      <c r="AM21" s="38" t="s">
        <v>173</v>
      </c>
      <c r="AN21" s="3"/>
      <c r="AO21" s="39">
        <v>0.21</v>
      </c>
      <c r="AP21" s="39">
        <v>0.14000000000000001</v>
      </c>
      <c r="AQ21" s="39">
        <v>0.08</v>
      </c>
      <c r="AR21" s="38" t="s">
        <v>173</v>
      </c>
      <c r="AS21" s="38" t="s">
        <v>173</v>
      </c>
      <c r="AT21" s="39">
        <v>10.72</v>
      </c>
      <c r="AU21" s="39">
        <v>9.9600000000000009</v>
      </c>
      <c r="AV21" s="39">
        <v>7.69</v>
      </c>
      <c r="AW21" s="38" t="s">
        <v>173</v>
      </c>
      <c r="AX21" s="38" t="s">
        <v>173</v>
      </c>
      <c r="AY21" s="39">
        <v>25</v>
      </c>
      <c r="AZ21" s="39">
        <v>18.239999999999998</v>
      </c>
      <c r="BA21" s="39">
        <v>18.190000000000001</v>
      </c>
      <c r="BB21" s="38" t="s">
        <v>173</v>
      </c>
      <c r="BC21" s="38" t="s">
        <v>173</v>
      </c>
      <c r="BD21" s="84"/>
      <c r="BE21" s="84"/>
      <c r="BF21" s="38" t="s">
        <v>173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</row>
    <row r="22" spans="1:137" x14ac:dyDescent="0.25">
      <c r="A22" s="4">
        <v>2028</v>
      </c>
      <c r="B22" s="39">
        <v>0.06</v>
      </c>
      <c r="C22" s="39">
        <v>0.05</v>
      </c>
      <c r="D22" s="39">
        <v>0.06</v>
      </c>
      <c r="E22" s="39">
        <v>0.05</v>
      </c>
      <c r="F22" s="39">
        <v>0.04</v>
      </c>
      <c r="G22" s="38" t="s">
        <v>173</v>
      </c>
      <c r="H22" s="39">
        <v>42.36</v>
      </c>
      <c r="I22" s="38">
        <v>0</v>
      </c>
      <c r="J22" s="39">
        <v>18.309999999999999</v>
      </c>
      <c r="K22" s="38">
        <v>0</v>
      </c>
      <c r="L22" s="3"/>
      <c r="M22" s="3"/>
      <c r="N22" s="39">
        <v>4.71</v>
      </c>
      <c r="O22" s="39">
        <v>25.57</v>
      </c>
      <c r="P22" s="39">
        <v>17.97</v>
      </c>
      <c r="Q22" s="39">
        <v>17.87</v>
      </c>
      <c r="R22" s="39">
        <v>25.19</v>
      </c>
      <c r="S22" s="39">
        <v>22.75</v>
      </c>
      <c r="T22" s="39">
        <v>22.7</v>
      </c>
      <c r="U22" s="39">
        <v>28.53</v>
      </c>
      <c r="V22" s="39">
        <v>26.25</v>
      </c>
      <c r="W22" s="38" t="s">
        <v>173</v>
      </c>
      <c r="X22" s="38" t="s">
        <v>173</v>
      </c>
      <c r="Y22" s="38" t="s">
        <v>173</v>
      </c>
      <c r="Z22" s="38" t="s">
        <v>173</v>
      </c>
      <c r="AA22" s="38" t="s">
        <v>173</v>
      </c>
      <c r="AB22" s="38" t="s">
        <v>173</v>
      </c>
      <c r="AC22" s="38" t="s">
        <v>173</v>
      </c>
      <c r="AD22" s="3"/>
      <c r="AE22" s="39">
        <v>1.7000000000000001E-2</v>
      </c>
      <c r="AF22" s="38" t="s">
        <v>173</v>
      </c>
      <c r="AG22" s="3"/>
      <c r="AH22" s="38" t="s">
        <v>173</v>
      </c>
      <c r="AI22" s="38" t="s">
        <v>173</v>
      </c>
      <c r="AJ22" s="38" t="s">
        <v>173</v>
      </c>
      <c r="AK22" s="38" t="s">
        <v>173</v>
      </c>
      <c r="AL22" s="38" t="s">
        <v>173</v>
      </c>
      <c r="AM22" s="38" t="s">
        <v>173</v>
      </c>
      <c r="AN22" s="3"/>
      <c r="AO22" s="39">
        <v>0.21</v>
      </c>
      <c r="AP22" s="39">
        <v>0.14000000000000001</v>
      </c>
      <c r="AQ22" s="39">
        <v>0.08</v>
      </c>
      <c r="AR22" s="38" t="s">
        <v>173</v>
      </c>
      <c r="AS22" s="38" t="s">
        <v>173</v>
      </c>
      <c r="AT22" s="39">
        <v>10.38</v>
      </c>
      <c r="AU22" s="39">
        <v>10.34</v>
      </c>
      <c r="AV22" s="39">
        <v>7.76</v>
      </c>
      <c r="AW22" s="38" t="s">
        <v>173</v>
      </c>
      <c r="AX22" s="38" t="s">
        <v>173</v>
      </c>
      <c r="AY22" s="39">
        <v>25.57</v>
      </c>
      <c r="AZ22" s="39">
        <v>17.97</v>
      </c>
      <c r="BA22" s="39">
        <v>17.87</v>
      </c>
      <c r="BB22" s="38" t="s">
        <v>173</v>
      </c>
      <c r="BC22" s="38" t="s">
        <v>173</v>
      </c>
      <c r="BD22" s="84"/>
      <c r="BE22" s="84"/>
      <c r="BF22" s="38" t="s">
        <v>173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</row>
    <row r="23" spans="1:137" x14ac:dyDescent="0.25">
      <c r="A23" s="4">
        <v>2029</v>
      </c>
      <c r="B23" s="39">
        <v>0.06</v>
      </c>
      <c r="C23" s="39">
        <v>0.05</v>
      </c>
      <c r="D23" s="39">
        <v>0.06</v>
      </c>
      <c r="E23" s="39">
        <v>0.05</v>
      </c>
      <c r="F23" s="39">
        <v>0.04</v>
      </c>
      <c r="G23" s="38" t="s">
        <v>173</v>
      </c>
      <c r="H23" s="39">
        <v>63.21</v>
      </c>
      <c r="I23" s="38">
        <v>0</v>
      </c>
      <c r="J23" s="39">
        <v>18.3</v>
      </c>
      <c r="K23" s="38">
        <v>0</v>
      </c>
      <c r="L23" s="3"/>
      <c r="M23" s="3"/>
      <c r="N23" s="39">
        <v>4.59</v>
      </c>
      <c r="O23" s="39">
        <v>26.19</v>
      </c>
      <c r="P23" s="39">
        <v>17.72</v>
      </c>
      <c r="Q23" s="39">
        <v>17.57</v>
      </c>
      <c r="R23" s="39">
        <v>25.4</v>
      </c>
      <c r="S23" s="39">
        <v>23.11</v>
      </c>
      <c r="T23" s="39">
        <v>23.23</v>
      </c>
      <c r="U23" s="39">
        <v>28.89</v>
      </c>
      <c r="V23" s="39">
        <v>25.94</v>
      </c>
      <c r="W23" s="38" t="s">
        <v>173</v>
      </c>
      <c r="X23" s="38" t="s">
        <v>173</v>
      </c>
      <c r="Y23" s="38" t="s">
        <v>173</v>
      </c>
      <c r="Z23" s="38" t="s">
        <v>173</v>
      </c>
      <c r="AA23" s="38" t="s">
        <v>173</v>
      </c>
      <c r="AB23" s="38" t="s">
        <v>173</v>
      </c>
      <c r="AC23" s="38" t="s">
        <v>173</v>
      </c>
      <c r="AD23" s="3"/>
      <c r="AE23" s="39">
        <v>1.7000000000000001E-2</v>
      </c>
      <c r="AF23" s="38" t="s">
        <v>173</v>
      </c>
      <c r="AG23" s="3"/>
      <c r="AH23" s="38" t="s">
        <v>173</v>
      </c>
      <c r="AI23" s="38" t="s">
        <v>173</v>
      </c>
      <c r="AJ23" s="38" t="s">
        <v>173</v>
      </c>
      <c r="AK23" s="38" t="s">
        <v>173</v>
      </c>
      <c r="AL23" s="38" t="s">
        <v>173</v>
      </c>
      <c r="AM23" s="38" t="s">
        <v>173</v>
      </c>
      <c r="AN23" s="3"/>
      <c r="AO23" s="39">
        <v>0.22</v>
      </c>
      <c r="AP23" s="39">
        <v>0.14000000000000001</v>
      </c>
      <c r="AQ23" s="39">
        <v>0.08</v>
      </c>
      <c r="AR23" s="38" t="s">
        <v>173</v>
      </c>
      <c r="AS23" s="38" t="s">
        <v>173</v>
      </c>
      <c r="AT23" s="39">
        <v>10.19</v>
      </c>
      <c r="AU23" s="39">
        <v>10.84</v>
      </c>
      <c r="AV23" s="39">
        <v>7.94</v>
      </c>
      <c r="AW23" s="38" t="s">
        <v>173</v>
      </c>
      <c r="AX23" s="38" t="s">
        <v>173</v>
      </c>
      <c r="AY23" s="39">
        <v>26.19</v>
      </c>
      <c r="AZ23" s="39">
        <v>17.72</v>
      </c>
      <c r="BA23" s="39">
        <v>17.57</v>
      </c>
      <c r="BB23" s="38" t="s">
        <v>173</v>
      </c>
      <c r="BC23" s="38" t="s">
        <v>173</v>
      </c>
      <c r="BD23" s="84"/>
      <c r="BE23" s="84"/>
      <c r="BF23" s="38" t="s">
        <v>173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</row>
    <row r="24" spans="1:137" x14ac:dyDescent="0.25">
      <c r="A24" s="4">
        <v>2030</v>
      </c>
      <c r="B24" s="39">
        <v>7.0000000000000007E-2</v>
      </c>
      <c r="C24" s="39">
        <v>0.05</v>
      </c>
      <c r="D24" s="39">
        <v>7.0000000000000007E-2</v>
      </c>
      <c r="E24" s="39">
        <v>0.05</v>
      </c>
      <c r="F24" s="39">
        <v>0.04</v>
      </c>
      <c r="G24" s="38" t="s">
        <v>173</v>
      </c>
      <c r="H24" s="39">
        <v>57.55</v>
      </c>
      <c r="I24" s="38">
        <v>0</v>
      </c>
      <c r="J24" s="39">
        <v>18.29</v>
      </c>
      <c r="K24" s="38">
        <v>0</v>
      </c>
      <c r="L24" s="3"/>
      <c r="M24" s="3"/>
      <c r="N24" s="39">
        <v>5.0199999999999996</v>
      </c>
      <c r="O24" s="39">
        <v>26.88</v>
      </c>
      <c r="P24" s="39">
        <v>17.5</v>
      </c>
      <c r="Q24" s="39">
        <v>17.3</v>
      </c>
      <c r="R24" s="39">
        <v>25.8</v>
      </c>
      <c r="S24" s="39">
        <v>23.63</v>
      </c>
      <c r="T24" s="39">
        <v>23.99</v>
      </c>
      <c r="U24" s="39">
        <v>29.3</v>
      </c>
      <c r="V24" s="39">
        <v>26</v>
      </c>
      <c r="W24" s="38" t="s">
        <v>173</v>
      </c>
      <c r="X24" s="38" t="s">
        <v>173</v>
      </c>
      <c r="Y24" s="38" t="s">
        <v>173</v>
      </c>
      <c r="Z24" s="38" t="s">
        <v>173</v>
      </c>
      <c r="AA24" s="38" t="s">
        <v>173</v>
      </c>
      <c r="AB24" s="38" t="s">
        <v>173</v>
      </c>
      <c r="AC24" s="38" t="s">
        <v>173</v>
      </c>
      <c r="AD24" s="3"/>
      <c r="AE24" s="39">
        <v>1.7000000000000001E-2</v>
      </c>
      <c r="AF24" s="38" t="s">
        <v>173</v>
      </c>
      <c r="AG24" s="3"/>
      <c r="AH24" s="38" t="s">
        <v>173</v>
      </c>
      <c r="AI24" s="38" t="s">
        <v>173</v>
      </c>
      <c r="AJ24" s="38" t="s">
        <v>173</v>
      </c>
      <c r="AK24" s="38" t="s">
        <v>173</v>
      </c>
      <c r="AL24" s="38" t="s">
        <v>173</v>
      </c>
      <c r="AM24" s="38" t="s">
        <v>173</v>
      </c>
      <c r="AN24" s="3"/>
      <c r="AO24" s="39">
        <v>0.22</v>
      </c>
      <c r="AP24" s="39">
        <v>0.15</v>
      </c>
      <c r="AQ24" s="39">
        <v>0.08</v>
      </c>
      <c r="AR24" s="38" t="s">
        <v>173</v>
      </c>
      <c r="AS24" s="38" t="s">
        <v>173</v>
      </c>
      <c r="AT24" s="39">
        <v>9.98</v>
      </c>
      <c r="AU24" s="39">
        <v>11.31</v>
      </c>
      <c r="AV24" s="39">
        <v>8.15</v>
      </c>
      <c r="AW24" s="38" t="s">
        <v>173</v>
      </c>
      <c r="AX24" s="38" t="s">
        <v>173</v>
      </c>
      <c r="AY24" s="39">
        <v>26.88</v>
      </c>
      <c r="AZ24" s="39">
        <v>17.5</v>
      </c>
      <c r="BA24" s="39">
        <v>17.3</v>
      </c>
      <c r="BB24" s="38" t="s">
        <v>173</v>
      </c>
      <c r="BC24" s="38" t="s">
        <v>173</v>
      </c>
      <c r="BD24" s="84"/>
      <c r="BE24" s="84"/>
      <c r="BF24" s="38" t="s">
        <v>173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</row>
    <row r="25" spans="1:137" x14ac:dyDescent="0.25">
      <c r="A25" s="4">
        <v>2031</v>
      </c>
      <c r="B25" s="39">
        <v>7.0000000000000007E-2</v>
      </c>
      <c r="C25" s="39">
        <v>0.05</v>
      </c>
      <c r="D25" s="39">
        <v>7.0000000000000007E-2</v>
      </c>
      <c r="E25" s="39">
        <v>0.05</v>
      </c>
      <c r="F25" s="39">
        <v>0.04</v>
      </c>
      <c r="G25" s="38" t="s">
        <v>173</v>
      </c>
      <c r="H25" s="39">
        <v>60.93</v>
      </c>
      <c r="I25" s="38">
        <v>0</v>
      </c>
      <c r="J25" s="39">
        <v>18.3</v>
      </c>
      <c r="K25" s="38">
        <v>0</v>
      </c>
      <c r="L25" s="3"/>
      <c r="M25" s="3"/>
      <c r="N25" s="39">
        <v>5.0199999999999996</v>
      </c>
      <c r="O25" s="39">
        <v>26.98</v>
      </c>
      <c r="P25" s="39">
        <v>17.559999999999999</v>
      </c>
      <c r="Q25" s="39">
        <v>17.36</v>
      </c>
      <c r="R25" s="39">
        <v>26.27</v>
      </c>
      <c r="S25" s="39">
        <v>24.12</v>
      </c>
      <c r="T25" s="39">
        <v>24.72</v>
      </c>
      <c r="U25" s="39">
        <v>29.38</v>
      </c>
      <c r="V25" s="39">
        <v>26.05</v>
      </c>
      <c r="W25" s="38" t="s">
        <v>173</v>
      </c>
      <c r="X25" s="38" t="s">
        <v>173</v>
      </c>
      <c r="Y25" s="38" t="s">
        <v>173</v>
      </c>
      <c r="Z25" s="38" t="s">
        <v>173</v>
      </c>
      <c r="AA25" s="38" t="s">
        <v>173</v>
      </c>
      <c r="AB25" s="38" t="s">
        <v>173</v>
      </c>
      <c r="AC25" s="38" t="s">
        <v>173</v>
      </c>
      <c r="AD25" s="3"/>
      <c r="AE25" s="39">
        <v>1.7000000000000001E-2</v>
      </c>
      <c r="AF25" s="38" t="s">
        <v>173</v>
      </c>
      <c r="AG25" s="3"/>
      <c r="AH25" s="38" t="s">
        <v>173</v>
      </c>
      <c r="AI25" s="38" t="s">
        <v>173</v>
      </c>
      <c r="AJ25" s="38" t="s">
        <v>173</v>
      </c>
      <c r="AK25" s="38" t="s">
        <v>173</v>
      </c>
      <c r="AL25" s="38" t="s">
        <v>173</v>
      </c>
      <c r="AM25" s="38" t="s">
        <v>173</v>
      </c>
      <c r="AN25" s="3"/>
      <c r="AO25" s="39">
        <v>0.22</v>
      </c>
      <c r="AP25" s="39">
        <v>0.15</v>
      </c>
      <c r="AQ25" s="39">
        <v>0.08</v>
      </c>
      <c r="AR25" s="38" t="s">
        <v>173</v>
      </c>
      <c r="AS25" s="38" t="s">
        <v>173</v>
      </c>
      <c r="AT25" s="39">
        <v>10.199999999999999</v>
      </c>
      <c r="AU25" s="39">
        <v>11.51</v>
      </c>
      <c r="AV25" s="39">
        <v>8.3699999999999992</v>
      </c>
      <c r="AW25" s="38" t="s">
        <v>173</v>
      </c>
      <c r="AX25" s="38" t="s">
        <v>173</v>
      </c>
      <c r="AY25" s="39">
        <v>26.98</v>
      </c>
      <c r="AZ25" s="39">
        <v>17.559999999999999</v>
      </c>
      <c r="BA25" s="39">
        <v>17.36</v>
      </c>
      <c r="BB25" s="38" t="s">
        <v>173</v>
      </c>
      <c r="BC25" s="38" t="s">
        <v>173</v>
      </c>
      <c r="BD25" s="84"/>
      <c r="BE25" s="84"/>
      <c r="BF25" s="38" t="s">
        <v>173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</row>
    <row r="26" spans="1:137" x14ac:dyDescent="0.25">
      <c r="A26" s="4">
        <v>2032</v>
      </c>
      <c r="B26" s="39">
        <v>0.06</v>
      </c>
      <c r="C26" s="39">
        <v>0.05</v>
      </c>
      <c r="D26" s="39">
        <v>0.06</v>
      </c>
      <c r="E26" s="39">
        <v>0.05</v>
      </c>
      <c r="F26" s="39">
        <v>0.04</v>
      </c>
      <c r="G26" s="38" t="s">
        <v>173</v>
      </c>
      <c r="H26" s="39">
        <v>74.260000000000005</v>
      </c>
      <c r="I26" s="38">
        <v>0</v>
      </c>
      <c r="J26" s="39">
        <v>18.29</v>
      </c>
      <c r="K26" s="38">
        <v>0</v>
      </c>
      <c r="L26" s="3"/>
      <c r="M26" s="3"/>
      <c r="N26" s="39">
        <v>5.01</v>
      </c>
      <c r="O26" s="39">
        <v>26.83</v>
      </c>
      <c r="P26" s="39">
        <v>17.489999999999998</v>
      </c>
      <c r="Q26" s="39">
        <v>17.3</v>
      </c>
      <c r="R26" s="39">
        <v>27.07</v>
      </c>
      <c r="S26" s="39">
        <v>25.08</v>
      </c>
      <c r="T26" s="39">
        <v>26.16</v>
      </c>
      <c r="U26" s="39">
        <v>29.25</v>
      </c>
      <c r="V26" s="39">
        <v>25.93</v>
      </c>
      <c r="W26" s="38" t="s">
        <v>173</v>
      </c>
      <c r="X26" s="38" t="s">
        <v>173</v>
      </c>
      <c r="Y26" s="38" t="s">
        <v>173</v>
      </c>
      <c r="Z26" s="38" t="s">
        <v>173</v>
      </c>
      <c r="AA26" s="38" t="s">
        <v>173</v>
      </c>
      <c r="AB26" s="38" t="s">
        <v>173</v>
      </c>
      <c r="AC26" s="38" t="s">
        <v>173</v>
      </c>
      <c r="AD26" s="3"/>
      <c r="AE26" s="39">
        <v>1.7000000000000001E-2</v>
      </c>
      <c r="AF26" s="38" t="s">
        <v>173</v>
      </c>
      <c r="AG26" s="3"/>
      <c r="AH26" s="38" t="s">
        <v>173</v>
      </c>
      <c r="AI26" s="38" t="s">
        <v>173</v>
      </c>
      <c r="AJ26" s="38" t="s">
        <v>173</v>
      </c>
      <c r="AK26" s="38" t="s">
        <v>173</v>
      </c>
      <c r="AL26" s="38" t="s">
        <v>173</v>
      </c>
      <c r="AM26" s="38" t="s">
        <v>173</v>
      </c>
      <c r="AN26" s="3"/>
      <c r="AO26" s="39">
        <v>0.21</v>
      </c>
      <c r="AP26" s="39">
        <v>0.14000000000000001</v>
      </c>
      <c r="AQ26" s="39">
        <v>0.08</v>
      </c>
      <c r="AR26" s="38" t="s">
        <v>173</v>
      </c>
      <c r="AS26" s="38" t="s">
        <v>173</v>
      </c>
      <c r="AT26" s="39">
        <v>10.71</v>
      </c>
      <c r="AU26" s="39">
        <v>12.01</v>
      </c>
      <c r="AV26" s="39">
        <v>9.1</v>
      </c>
      <c r="AW26" s="38" t="s">
        <v>173</v>
      </c>
      <c r="AX26" s="38" t="s">
        <v>173</v>
      </c>
      <c r="AY26" s="39">
        <v>26.83</v>
      </c>
      <c r="AZ26" s="39">
        <v>17.489999999999998</v>
      </c>
      <c r="BA26" s="39">
        <v>17.3</v>
      </c>
      <c r="BB26" s="38" t="s">
        <v>173</v>
      </c>
      <c r="BC26" s="38" t="s">
        <v>173</v>
      </c>
      <c r="BD26" s="84"/>
      <c r="BE26" s="84"/>
      <c r="BF26" s="38" t="s">
        <v>173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  <row r="27" spans="1:137" x14ac:dyDescent="0.25">
      <c r="A27" s="4">
        <v>2033</v>
      </c>
      <c r="B27" s="39">
        <v>0.06</v>
      </c>
      <c r="C27" s="39">
        <v>0.05</v>
      </c>
      <c r="D27" s="39">
        <v>0.06</v>
      </c>
      <c r="E27" s="39">
        <v>0.05</v>
      </c>
      <c r="F27" s="39">
        <v>0.04</v>
      </c>
      <c r="G27" s="38" t="s">
        <v>173</v>
      </c>
      <c r="H27" s="39">
        <v>67.34</v>
      </c>
      <c r="I27" s="38">
        <v>0</v>
      </c>
      <c r="J27" s="39">
        <v>18.28</v>
      </c>
      <c r="K27" s="38">
        <v>0</v>
      </c>
      <c r="L27" s="3"/>
      <c r="M27" s="3"/>
      <c r="N27" s="39">
        <v>5.01</v>
      </c>
      <c r="O27" s="39">
        <v>27.26</v>
      </c>
      <c r="P27" s="39">
        <v>17.79</v>
      </c>
      <c r="Q27" s="39">
        <v>17.600000000000001</v>
      </c>
      <c r="R27" s="39">
        <v>28.12</v>
      </c>
      <c r="S27" s="39">
        <v>26.22</v>
      </c>
      <c r="T27" s="39">
        <v>27.91</v>
      </c>
      <c r="U27" s="39">
        <v>29.67</v>
      </c>
      <c r="V27" s="39">
        <v>25.83</v>
      </c>
      <c r="W27" s="38" t="s">
        <v>173</v>
      </c>
      <c r="X27" s="38" t="s">
        <v>173</v>
      </c>
      <c r="Y27" s="38" t="s">
        <v>173</v>
      </c>
      <c r="Z27" s="38" t="s">
        <v>173</v>
      </c>
      <c r="AA27" s="38" t="s">
        <v>173</v>
      </c>
      <c r="AB27" s="38" t="s">
        <v>173</v>
      </c>
      <c r="AC27" s="38" t="s">
        <v>173</v>
      </c>
      <c r="AD27" s="3"/>
      <c r="AE27" s="39">
        <v>1.7000000000000001E-2</v>
      </c>
      <c r="AF27" s="38" t="s">
        <v>173</v>
      </c>
      <c r="AG27" s="3"/>
      <c r="AH27" s="38" t="s">
        <v>173</v>
      </c>
      <c r="AI27" s="38" t="s">
        <v>173</v>
      </c>
      <c r="AJ27" s="38" t="s">
        <v>173</v>
      </c>
      <c r="AK27" s="38" t="s">
        <v>173</v>
      </c>
      <c r="AL27" s="38" t="s">
        <v>173</v>
      </c>
      <c r="AM27" s="38" t="s">
        <v>173</v>
      </c>
      <c r="AN27" s="3"/>
      <c r="AO27" s="39">
        <v>0.22</v>
      </c>
      <c r="AP27" s="39">
        <v>0.14000000000000001</v>
      </c>
      <c r="AQ27" s="39">
        <v>0.08</v>
      </c>
      <c r="AR27" s="38" t="s">
        <v>173</v>
      </c>
      <c r="AS27" s="38" t="s">
        <v>173</v>
      </c>
      <c r="AT27" s="39">
        <v>11.18</v>
      </c>
      <c r="AU27" s="39">
        <v>12.46</v>
      </c>
      <c r="AV27" s="39">
        <v>9.66</v>
      </c>
      <c r="AW27" s="38" t="s">
        <v>173</v>
      </c>
      <c r="AX27" s="38" t="s">
        <v>173</v>
      </c>
      <c r="AY27" s="39">
        <v>27.26</v>
      </c>
      <c r="AZ27" s="39">
        <v>17.79</v>
      </c>
      <c r="BA27" s="39">
        <v>17.600000000000001</v>
      </c>
      <c r="BB27" s="38" t="s">
        <v>173</v>
      </c>
      <c r="BC27" s="38" t="s">
        <v>173</v>
      </c>
      <c r="BD27" s="84"/>
      <c r="BE27" s="84"/>
      <c r="BF27" s="38" t="s">
        <v>173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</row>
    <row r="28" spans="1:137" x14ac:dyDescent="0.25">
      <c r="A28" s="4">
        <v>2034</v>
      </c>
      <c r="B28" s="39">
        <v>0.06</v>
      </c>
      <c r="C28" s="39">
        <v>0.05</v>
      </c>
      <c r="D28" s="39">
        <v>0.06</v>
      </c>
      <c r="E28" s="39">
        <v>0.05</v>
      </c>
      <c r="F28" s="39">
        <v>0.04</v>
      </c>
      <c r="G28" s="38" t="s">
        <v>173</v>
      </c>
      <c r="H28" s="39">
        <v>74.77</v>
      </c>
      <c r="I28" s="38">
        <v>0</v>
      </c>
      <c r="J28" s="39">
        <v>18.27</v>
      </c>
      <c r="K28" s="38">
        <v>0</v>
      </c>
      <c r="L28" s="3"/>
      <c r="M28" s="3"/>
      <c r="N28" s="39">
        <v>5</v>
      </c>
      <c r="O28" s="39">
        <v>27.43</v>
      </c>
      <c r="P28" s="39">
        <v>17.920000000000002</v>
      </c>
      <c r="Q28" s="39">
        <v>17.73</v>
      </c>
      <c r="R28" s="39">
        <v>29.04</v>
      </c>
      <c r="S28" s="39">
        <v>26.97</v>
      </c>
      <c r="T28" s="39">
        <v>29.09</v>
      </c>
      <c r="U28" s="39">
        <v>29.84</v>
      </c>
      <c r="V28" s="39">
        <v>25.92</v>
      </c>
      <c r="W28" s="38" t="s">
        <v>173</v>
      </c>
      <c r="X28" s="38" t="s">
        <v>173</v>
      </c>
      <c r="Y28" s="38" t="s">
        <v>173</v>
      </c>
      <c r="Z28" s="38" t="s">
        <v>173</v>
      </c>
      <c r="AA28" s="38" t="s">
        <v>173</v>
      </c>
      <c r="AB28" s="38" t="s">
        <v>173</v>
      </c>
      <c r="AC28" s="38" t="s">
        <v>173</v>
      </c>
      <c r="AD28" s="3"/>
      <c r="AE28" s="39">
        <v>1.7000000000000001E-2</v>
      </c>
      <c r="AF28" s="38" t="s">
        <v>173</v>
      </c>
      <c r="AG28" s="3"/>
      <c r="AH28" s="38" t="s">
        <v>173</v>
      </c>
      <c r="AI28" s="38" t="s">
        <v>173</v>
      </c>
      <c r="AJ28" s="38" t="s">
        <v>173</v>
      </c>
      <c r="AK28" s="38" t="s">
        <v>173</v>
      </c>
      <c r="AL28" s="38" t="s">
        <v>173</v>
      </c>
      <c r="AM28" s="38" t="s">
        <v>173</v>
      </c>
      <c r="AN28" s="3"/>
      <c r="AO28" s="39">
        <v>0.22</v>
      </c>
      <c r="AP28" s="39">
        <v>0.14000000000000001</v>
      </c>
      <c r="AQ28" s="39">
        <v>0.08</v>
      </c>
      <c r="AR28" s="38" t="s">
        <v>173</v>
      </c>
      <c r="AS28" s="38" t="s">
        <v>173</v>
      </c>
      <c r="AT28" s="39">
        <v>11.49</v>
      </c>
      <c r="AU28" s="39">
        <v>12.72</v>
      </c>
      <c r="AV28" s="39">
        <v>9.9499999999999993</v>
      </c>
      <c r="AW28" s="38" t="s">
        <v>173</v>
      </c>
      <c r="AX28" s="38" t="s">
        <v>173</v>
      </c>
      <c r="AY28" s="39">
        <v>27.43</v>
      </c>
      <c r="AZ28" s="39">
        <v>17.920000000000002</v>
      </c>
      <c r="BA28" s="39">
        <v>17.73</v>
      </c>
      <c r="BB28" s="38" t="s">
        <v>173</v>
      </c>
      <c r="BC28" s="38" t="s">
        <v>173</v>
      </c>
      <c r="BD28" s="84"/>
      <c r="BE28" s="84"/>
      <c r="BF28" s="38" t="s">
        <v>173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</row>
    <row r="29" spans="1:137" x14ac:dyDescent="0.25">
      <c r="A29" s="4">
        <v>2035</v>
      </c>
      <c r="B29" s="39">
        <v>0.06</v>
      </c>
      <c r="C29" s="39">
        <v>0.05</v>
      </c>
      <c r="D29" s="39">
        <v>0.06</v>
      </c>
      <c r="E29" s="39">
        <v>0.05</v>
      </c>
      <c r="F29" s="39">
        <v>0.04</v>
      </c>
      <c r="G29" s="38" t="s">
        <v>173</v>
      </c>
      <c r="H29" s="39">
        <v>81.459999999999994</v>
      </c>
      <c r="I29" s="38">
        <v>0</v>
      </c>
      <c r="J29" s="39">
        <v>18.25</v>
      </c>
      <c r="K29" s="38">
        <v>0</v>
      </c>
      <c r="L29" s="3"/>
      <c r="M29" s="3"/>
      <c r="N29" s="39">
        <v>5</v>
      </c>
      <c r="O29" s="39">
        <v>27.65</v>
      </c>
      <c r="P29" s="39">
        <v>18.13</v>
      </c>
      <c r="Q29" s="39">
        <v>17.940000000000001</v>
      </c>
      <c r="R29" s="39">
        <v>29.7</v>
      </c>
      <c r="S29" s="39">
        <v>27.32</v>
      </c>
      <c r="T29" s="39">
        <v>29.66</v>
      </c>
      <c r="U29" s="39">
        <v>30.15</v>
      </c>
      <c r="V29" s="39">
        <v>25.71</v>
      </c>
      <c r="W29" s="38" t="s">
        <v>173</v>
      </c>
      <c r="X29" s="38" t="s">
        <v>173</v>
      </c>
      <c r="Y29" s="38" t="s">
        <v>173</v>
      </c>
      <c r="Z29" s="38" t="s">
        <v>173</v>
      </c>
      <c r="AA29" s="38" t="s">
        <v>173</v>
      </c>
      <c r="AB29" s="38" t="s">
        <v>173</v>
      </c>
      <c r="AC29" s="38" t="s">
        <v>173</v>
      </c>
      <c r="AD29" s="3"/>
      <c r="AE29" s="39">
        <v>1.7000000000000001E-2</v>
      </c>
      <c r="AF29" s="38" t="s">
        <v>173</v>
      </c>
      <c r="AG29" s="3"/>
      <c r="AH29" s="38" t="s">
        <v>173</v>
      </c>
      <c r="AI29" s="38" t="s">
        <v>173</v>
      </c>
      <c r="AJ29" s="38" t="s">
        <v>173</v>
      </c>
      <c r="AK29" s="38" t="s">
        <v>173</v>
      </c>
      <c r="AL29" s="38" t="s">
        <v>173</v>
      </c>
      <c r="AM29" s="38" t="s">
        <v>173</v>
      </c>
      <c r="AN29" s="3"/>
      <c r="AO29" s="39">
        <v>0.22</v>
      </c>
      <c r="AP29" s="39">
        <v>0.15</v>
      </c>
      <c r="AQ29" s="39">
        <v>0.08</v>
      </c>
      <c r="AR29" s="38" t="s">
        <v>173</v>
      </c>
      <c r="AS29" s="38" t="s">
        <v>173</v>
      </c>
      <c r="AT29" s="39">
        <v>11.66</v>
      </c>
      <c r="AU29" s="39">
        <v>12.84</v>
      </c>
      <c r="AV29" s="39">
        <v>10.06</v>
      </c>
      <c r="AW29" s="38" t="s">
        <v>173</v>
      </c>
      <c r="AX29" s="38" t="s">
        <v>173</v>
      </c>
      <c r="AY29" s="39">
        <v>27.65</v>
      </c>
      <c r="AZ29" s="39">
        <v>18.13</v>
      </c>
      <c r="BA29" s="39">
        <v>17.940000000000001</v>
      </c>
      <c r="BB29" s="38" t="s">
        <v>173</v>
      </c>
      <c r="BC29" s="38" t="s">
        <v>173</v>
      </c>
      <c r="BD29" s="84"/>
      <c r="BE29" s="84"/>
      <c r="BF29" s="38" t="s">
        <v>173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</row>
    <row r="30" spans="1:137" x14ac:dyDescent="0.25">
      <c r="A30" s="4">
        <v>2036</v>
      </c>
      <c r="B30" s="39">
        <v>0.06</v>
      </c>
      <c r="C30" s="39">
        <v>0.05</v>
      </c>
      <c r="D30" s="39">
        <v>0.06</v>
      </c>
      <c r="E30" s="39">
        <v>0.05</v>
      </c>
      <c r="F30" s="39">
        <v>0.04</v>
      </c>
      <c r="G30" s="38" t="s">
        <v>173</v>
      </c>
      <c r="H30" s="39">
        <v>85.29</v>
      </c>
      <c r="I30" s="38">
        <v>0</v>
      </c>
      <c r="J30" s="39">
        <v>18.25</v>
      </c>
      <c r="K30" s="38">
        <v>0</v>
      </c>
      <c r="L30" s="3"/>
      <c r="M30" s="3"/>
      <c r="N30" s="39">
        <v>5</v>
      </c>
      <c r="O30" s="39">
        <v>27.69</v>
      </c>
      <c r="P30" s="39">
        <v>18.21</v>
      </c>
      <c r="Q30" s="39">
        <v>18.03</v>
      </c>
      <c r="R30" s="39">
        <v>30.1</v>
      </c>
      <c r="S30" s="39">
        <v>27.43</v>
      </c>
      <c r="T30" s="39">
        <v>29.84</v>
      </c>
      <c r="U30" s="39">
        <v>30.25</v>
      </c>
      <c r="V30" s="39">
        <v>25.73</v>
      </c>
      <c r="W30" s="38" t="s">
        <v>173</v>
      </c>
      <c r="X30" s="38" t="s">
        <v>173</v>
      </c>
      <c r="Y30" s="38" t="s">
        <v>173</v>
      </c>
      <c r="Z30" s="38" t="s">
        <v>173</v>
      </c>
      <c r="AA30" s="38" t="s">
        <v>173</v>
      </c>
      <c r="AB30" s="38" t="s">
        <v>173</v>
      </c>
      <c r="AC30" s="38" t="s">
        <v>173</v>
      </c>
      <c r="AD30" s="3"/>
      <c r="AE30" s="39">
        <v>1.7000000000000001E-2</v>
      </c>
      <c r="AF30" s="38" t="s">
        <v>173</v>
      </c>
      <c r="AG30" s="3"/>
      <c r="AH30" s="38" t="s">
        <v>173</v>
      </c>
      <c r="AI30" s="38" t="s">
        <v>173</v>
      </c>
      <c r="AJ30" s="38" t="s">
        <v>173</v>
      </c>
      <c r="AK30" s="38" t="s">
        <v>173</v>
      </c>
      <c r="AL30" s="38" t="s">
        <v>173</v>
      </c>
      <c r="AM30" s="38" t="s">
        <v>173</v>
      </c>
      <c r="AN30" s="3"/>
      <c r="AO30" s="39">
        <v>0.21</v>
      </c>
      <c r="AP30" s="39">
        <v>0.14000000000000001</v>
      </c>
      <c r="AQ30" s="39">
        <v>0.08</v>
      </c>
      <c r="AR30" s="38" t="s">
        <v>173</v>
      </c>
      <c r="AS30" s="38" t="s">
        <v>173</v>
      </c>
      <c r="AT30" s="39">
        <v>11.71</v>
      </c>
      <c r="AU30" s="39">
        <v>12.83</v>
      </c>
      <c r="AV30" s="39">
        <v>10.02</v>
      </c>
      <c r="AW30" s="38" t="s">
        <v>173</v>
      </c>
      <c r="AX30" s="38" t="s">
        <v>173</v>
      </c>
      <c r="AY30" s="39">
        <v>27.69</v>
      </c>
      <c r="AZ30" s="39">
        <v>18.21</v>
      </c>
      <c r="BA30" s="39">
        <v>18.03</v>
      </c>
      <c r="BB30" s="38" t="s">
        <v>173</v>
      </c>
      <c r="BC30" s="38" t="s">
        <v>173</v>
      </c>
      <c r="BD30" s="84"/>
      <c r="BE30" s="84"/>
      <c r="BF30" s="38" t="s">
        <v>173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</row>
    <row r="31" spans="1:137" x14ac:dyDescent="0.25">
      <c r="A31" s="4">
        <v>2037</v>
      </c>
      <c r="B31" s="39">
        <v>0.06</v>
      </c>
      <c r="C31" s="39">
        <v>0.05</v>
      </c>
      <c r="D31" s="39">
        <v>0.06</v>
      </c>
      <c r="E31" s="39">
        <v>0.05</v>
      </c>
      <c r="F31" s="39">
        <v>0.04</v>
      </c>
      <c r="G31" s="38" t="s">
        <v>173</v>
      </c>
      <c r="H31" s="39">
        <v>87.17</v>
      </c>
      <c r="I31" s="38">
        <v>0</v>
      </c>
      <c r="J31" s="39">
        <v>18.239999999999998</v>
      </c>
      <c r="K31" s="38">
        <v>0</v>
      </c>
      <c r="L31" s="3"/>
      <c r="M31" s="3"/>
      <c r="N31" s="39">
        <v>4.99</v>
      </c>
      <c r="O31" s="39">
        <v>27.91</v>
      </c>
      <c r="P31" s="39">
        <v>18.38</v>
      </c>
      <c r="Q31" s="39">
        <v>18.21</v>
      </c>
      <c r="R31" s="39">
        <v>30.32</v>
      </c>
      <c r="S31" s="39">
        <v>27.46</v>
      </c>
      <c r="T31" s="39">
        <v>29.89</v>
      </c>
      <c r="U31" s="39">
        <v>30.47</v>
      </c>
      <c r="V31" s="39">
        <v>25.65</v>
      </c>
      <c r="W31" s="38" t="s">
        <v>173</v>
      </c>
      <c r="X31" s="38" t="s">
        <v>173</v>
      </c>
      <c r="Y31" s="38" t="s">
        <v>173</v>
      </c>
      <c r="Z31" s="38" t="s">
        <v>173</v>
      </c>
      <c r="AA31" s="38" t="s">
        <v>173</v>
      </c>
      <c r="AB31" s="38" t="s">
        <v>173</v>
      </c>
      <c r="AC31" s="38" t="s">
        <v>173</v>
      </c>
      <c r="AD31" s="3"/>
      <c r="AE31" s="39">
        <v>1.7000000000000001E-2</v>
      </c>
      <c r="AF31" s="38" t="s">
        <v>173</v>
      </c>
      <c r="AG31" s="3"/>
      <c r="AH31" s="38" t="s">
        <v>173</v>
      </c>
      <c r="AI31" s="38" t="s">
        <v>173</v>
      </c>
      <c r="AJ31" s="38" t="s">
        <v>173</v>
      </c>
      <c r="AK31" s="38" t="s">
        <v>173</v>
      </c>
      <c r="AL31" s="38" t="s">
        <v>173</v>
      </c>
      <c r="AM31" s="38" t="s">
        <v>173</v>
      </c>
      <c r="AN31" s="3"/>
      <c r="AO31" s="39">
        <v>0.22</v>
      </c>
      <c r="AP31" s="39">
        <v>0.14000000000000001</v>
      </c>
      <c r="AQ31" s="39">
        <v>0.08</v>
      </c>
      <c r="AR31" s="38" t="s">
        <v>173</v>
      </c>
      <c r="AS31" s="38" t="s">
        <v>173</v>
      </c>
      <c r="AT31" s="39">
        <v>11.68</v>
      </c>
      <c r="AU31" s="39">
        <v>12.75</v>
      </c>
      <c r="AV31" s="39">
        <v>9.8699999999999992</v>
      </c>
      <c r="AW31" s="38" t="s">
        <v>173</v>
      </c>
      <c r="AX31" s="38" t="s">
        <v>173</v>
      </c>
      <c r="AY31" s="39">
        <v>27.91</v>
      </c>
      <c r="AZ31" s="39">
        <v>18.38</v>
      </c>
      <c r="BA31" s="39">
        <v>18.21</v>
      </c>
      <c r="BB31" s="38" t="s">
        <v>173</v>
      </c>
      <c r="BC31" s="38" t="s">
        <v>173</v>
      </c>
      <c r="BD31" s="84"/>
      <c r="BE31" s="84"/>
      <c r="BF31" s="38" t="s">
        <v>173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</row>
    <row r="32" spans="1:137" x14ac:dyDescent="0.25">
      <c r="A32" s="4">
        <v>2038</v>
      </c>
      <c r="B32" s="39">
        <v>0.06</v>
      </c>
      <c r="C32" s="39">
        <v>0.05</v>
      </c>
      <c r="D32" s="39">
        <v>0.06</v>
      </c>
      <c r="E32" s="39">
        <v>0.05</v>
      </c>
      <c r="F32" s="39">
        <v>0.04</v>
      </c>
      <c r="G32" s="38" t="s">
        <v>173</v>
      </c>
      <c r="H32" s="39">
        <v>86.81</v>
      </c>
      <c r="I32" s="38">
        <v>0</v>
      </c>
      <c r="J32" s="39">
        <v>18.23</v>
      </c>
      <c r="K32" s="38">
        <v>0</v>
      </c>
      <c r="L32" s="3"/>
      <c r="M32" s="3"/>
      <c r="N32" s="39">
        <v>4.99</v>
      </c>
      <c r="O32" s="39">
        <v>28.16</v>
      </c>
      <c r="P32" s="39">
        <v>18.489999999999998</v>
      </c>
      <c r="Q32" s="39">
        <v>18.3</v>
      </c>
      <c r="R32" s="39">
        <v>30.4</v>
      </c>
      <c r="S32" s="39">
        <v>27.4</v>
      </c>
      <c r="T32" s="39">
        <v>29.8</v>
      </c>
      <c r="U32" s="39">
        <v>30.55</v>
      </c>
      <c r="V32" s="39">
        <v>25.24</v>
      </c>
      <c r="W32" s="38" t="s">
        <v>173</v>
      </c>
      <c r="X32" s="38" t="s">
        <v>173</v>
      </c>
      <c r="Y32" s="38" t="s">
        <v>173</v>
      </c>
      <c r="Z32" s="38" t="s">
        <v>173</v>
      </c>
      <c r="AA32" s="38" t="s">
        <v>173</v>
      </c>
      <c r="AB32" s="38" t="s">
        <v>173</v>
      </c>
      <c r="AC32" s="38" t="s">
        <v>173</v>
      </c>
      <c r="AD32" s="3"/>
      <c r="AE32" s="39">
        <v>1.7000000000000001E-2</v>
      </c>
      <c r="AF32" s="38" t="s">
        <v>173</v>
      </c>
      <c r="AG32" s="3"/>
      <c r="AH32" s="38" t="s">
        <v>173</v>
      </c>
      <c r="AI32" s="38" t="s">
        <v>173</v>
      </c>
      <c r="AJ32" s="38" t="s">
        <v>173</v>
      </c>
      <c r="AK32" s="38" t="s">
        <v>173</v>
      </c>
      <c r="AL32" s="38" t="s">
        <v>173</v>
      </c>
      <c r="AM32" s="38" t="s">
        <v>173</v>
      </c>
      <c r="AN32" s="3"/>
      <c r="AO32" s="39">
        <v>0.21</v>
      </c>
      <c r="AP32" s="39">
        <v>0.14000000000000001</v>
      </c>
      <c r="AQ32" s="39">
        <v>0.08</v>
      </c>
      <c r="AR32" s="38" t="s">
        <v>173</v>
      </c>
      <c r="AS32" s="38" t="s">
        <v>173</v>
      </c>
      <c r="AT32" s="39">
        <v>11.61</v>
      </c>
      <c r="AU32" s="39">
        <v>12.63</v>
      </c>
      <c r="AV32" s="39">
        <v>9.65</v>
      </c>
      <c r="AW32" s="38" t="s">
        <v>173</v>
      </c>
      <c r="AX32" s="38" t="s">
        <v>173</v>
      </c>
      <c r="AY32" s="39">
        <v>28.16</v>
      </c>
      <c r="AZ32" s="39">
        <v>18.489999999999998</v>
      </c>
      <c r="BA32" s="39">
        <v>18.3</v>
      </c>
      <c r="BB32" s="38" t="s">
        <v>173</v>
      </c>
      <c r="BC32" s="38" t="s">
        <v>173</v>
      </c>
      <c r="BD32" s="84"/>
      <c r="BE32" s="84"/>
      <c r="BF32" s="38" t="s">
        <v>173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</row>
    <row r="33" spans="1:137" x14ac:dyDescent="0.25">
      <c r="A33" s="4">
        <v>2039</v>
      </c>
      <c r="B33" s="39">
        <v>0.06</v>
      </c>
      <c r="C33" s="39">
        <v>0.05</v>
      </c>
      <c r="D33" s="39">
        <v>0.06</v>
      </c>
      <c r="E33" s="39">
        <v>0.05</v>
      </c>
      <c r="F33" s="39">
        <v>0.04</v>
      </c>
      <c r="G33" s="38" t="s">
        <v>173</v>
      </c>
      <c r="H33" s="39">
        <v>86.43</v>
      </c>
      <c r="I33" s="38">
        <v>0</v>
      </c>
      <c r="J33" s="39">
        <v>18.22</v>
      </c>
      <c r="K33" s="38">
        <v>0</v>
      </c>
      <c r="L33" s="3"/>
      <c r="M33" s="3"/>
      <c r="N33" s="39">
        <v>4.99</v>
      </c>
      <c r="O33" s="39">
        <v>28.3</v>
      </c>
      <c r="P33" s="39">
        <v>18.61</v>
      </c>
      <c r="Q33" s="39">
        <v>18.43</v>
      </c>
      <c r="R33" s="39">
        <v>30.43</v>
      </c>
      <c r="S33" s="39">
        <v>27.37</v>
      </c>
      <c r="T33" s="39">
        <v>29.75</v>
      </c>
      <c r="U33" s="39">
        <v>30.72</v>
      </c>
      <c r="V33" s="39">
        <v>25.18</v>
      </c>
      <c r="W33" s="38" t="s">
        <v>173</v>
      </c>
      <c r="X33" s="38" t="s">
        <v>173</v>
      </c>
      <c r="Y33" s="38" t="s">
        <v>173</v>
      </c>
      <c r="Z33" s="38" t="s">
        <v>173</v>
      </c>
      <c r="AA33" s="38" t="s">
        <v>173</v>
      </c>
      <c r="AB33" s="38" t="s">
        <v>173</v>
      </c>
      <c r="AC33" s="38" t="s">
        <v>173</v>
      </c>
      <c r="AD33" s="3"/>
      <c r="AE33" s="39">
        <v>1.7000000000000001E-2</v>
      </c>
      <c r="AF33" s="38" t="s">
        <v>173</v>
      </c>
      <c r="AG33" s="3"/>
      <c r="AH33" s="38" t="s">
        <v>173</v>
      </c>
      <c r="AI33" s="38" t="s">
        <v>173</v>
      </c>
      <c r="AJ33" s="38" t="s">
        <v>173</v>
      </c>
      <c r="AK33" s="38" t="s">
        <v>173</v>
      </c>
      <c r="AL33" s="38" t="s">
        <v>173</v>
      </c>
      <c r="AM33" s="38" t="s">
        <v>173</v>
      </c>
      <c r="AN33" s="3"/>
      <c r="AO33" s="39">
        <v>0.21</v>
      </c>
      <c r="AP33" s="39">
        <v>0.14000000000000001</v>
      </c>
      <c r="AQ33" s="39">
        <v>0.08</v>
      </c>
      <c r="AR33" s="38" t="s">
        <v>173</v>
      </c>
      <c r="AS33" s="38" t="s">
        <v>173</v>
      </c>
      <c r="AT33" s="39">
        <v>11.58</v>
      </c>
      <c r="AU33" s="39">
        <v>12.55</v>
      </c>
      <c r="AV33" s="39">
        <v>9.52</v>
      </c>
      <c r="AW33" s="38" t="s">
        <v>173</v>
      </c>
      <c r="AX33" s="38" t="s">
        <v>173</v>
      </c>
      <c r="AY33" s="39">
        <v>28.3</v>
      </c>
      <c r="AZ33" s="39">
        <v>18.61</v>
      </c>
      <c r="BA33" s="39">
        <v>18.43</v>
      </c>
      <c r="BB33" s="38" t="s">
        <v>173</v>
      </c>
      <c r="BC33" s="38" t="s">
        <v>173</v>
      </c>
      <c r="BD33" s="84"/>
      <c r="BE33" s="84"/>
      <c r="BF33" s="38" t="s">
        <v>173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</row>
    <row r="34" spans="1:137" x14ac:dyDescent="0.25">
      <c r="A34" s="4">
        <v>2040</v>
      </c>
      <c r="B34" s="39">
        <v>7.0000000000000007E-2</v>
      </c>
      <c r="C34" s="39">
        <v>0.05</v>
      </c>
      <c r="D34" s="39">
        <v>7.0000000000000007E-2</v>
      </c>
      <c r="E34" s="39">
        <v>0.05</v>
      </c>
      <c r="F34" s="39">
        <v>0.04</v>
      </c>
      <c r="G34" s="38" t="s">
        <v>173</v>
      </c>
      <c r="H34" s="39">
        <v>86.07</v>
      </c>
      <c r="I34" s="38">
        <v>0</v>
      </c>
      <c r="J34" s="39">
        <v>18.22</v>
      </c>
      <c r="K34" s="38">
        <v>0</v>
      </c>
      <c r="L34" s="3"/>
      <c r="M34" s="3"/>
      <c r="N34" s="39">
        <v>4.99</v>
      </c>
      <c r="O34" s="39">
        <v>28.56</v>
      </c>
      <c r="P34" s="39">
        <v>18.82</v>
      </c>
      <c r="Q34" s="39">
        <v>18.64</v>
      </c>
      <c r="R34" s="39">
        <v>30.52</v>
      </c>
      <c r="S34" s="39">
        <v>27.48</v>
      </c>
      <c r="T34" s="39">
        <v>29.93</v>
      </c>
      <c r="U34" s="39">
        <v>30.96</v>
      </c>
      <c r="V34" s="39">
        <v>25.17</v>
      </c>
      <c r="W34" s="38" t="s">
        <v>173</v>
      </c>
      <c r="X34" s="38" t="s">
        <v>173</v>
      </c>
      <c r="Y34" s="38" t="s">
        <v>173</v>
      </c>
      <c r="Z34" s="38" t="s">
        <v>173</v>
      </c>
      <c r="AA34" s="38" t="s">
        <v>173</v>
      </c>
      <c r="AB34" s="38" t="s">
        <v>173</v>
      </c>
      <c r="AC34" s="38" t="s">
        <v>173</v>
      </c>
      <c r="AD34" s="3"/>
      <c r="AE34" s="39">
        <v>1.7000000000000001E-2</v>
      </c>
      <c r="AF34" s="38" t="s">
        <v>173</v>
      </c>
      <c r="AG34" s="3"/>
      <c r="AH34" s="38" t="s">
        <v>173</v>
      </c>
      <c r="AI34" s="38" t="s">
        <v>173</v>
      </c>
      <c r="AJ34" s="38" t="s">
        <v>173</v>
      </c>
      <c r="AK34" s="38" t="s">
        <v>173</v>
      </c>
      <c r="AL34" s="38" t="s">
        <v>173</v>
      </c>
      <c r="AM34" s="38" t="s">
        <v>173</v>
      </c>
      <c r="AN34" s="3"/>
      <c r="AO34" s="39">
        <v>0.24</v>
      </c>
      <c r="AP34" s="39">
        <v>0.16</v>
      </c>
      <c r="AQ34" s="39">
        <v>0.09</v>
      </c>
      <c r="AR34" s="38" t="s">
        <v>173</v>
      </c>
      <c r="AS34" s="38" t="s">
        <v>173</v>
      </c>
      <c r="AT34" s="39">
        <v>11.61</v>
      </c>
      <c r="AU34" s="39">
        <v>12.54</v>
      </c>
      <c r="AV34" s="39">
        <v>9.5</v>
      </c>
      <c r="AW34" s="38" t="s">
        <v>173</v>
      </c>
      <c r="AX34" s="38" t="s">
        <v>173</v>
      </c>
      <c r="AY34" s="39">
        <v>28.56</v>
      </c>
      <c r="AZ34" s="39">
        <v>18.82</v>
      </c>
      <c r="BA34" s="39">
        <v>18.64</v>
      </c>
      <c r="BB34" s="38" t="s">
        <v>173</v>
      </c>
      <c r="BC34" s="38" t="s">
        <v>173</v>
      </c>
      <c r="BD34" s="84"/>
      <c r="BE34" s="84"/>
      <c r="BF34" s="38" t="s">
        <v>173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</row>
    <row r="35" spans="1:137" x14ac:dyDescent="0.25">
      <c r="A35" s="4">
        <v>2041</v>
      </c>
      <c r="B35" s="39">
        <v>7.0000000000000007E-2</v>
      </c>
      <c r="C35" s="39">
        <v>0.05</v>
      </c>
      <c r="D35" s="39">
        <v>7.0000000000000007E-2</v>
      </c>
      <c r="E35" s="39">
        <v>0.05</v>
      </c>
      <c r="F35" s="39">
        <v>0.05</v>
      </c>
      <c r="G35" s="38" t="s">
        <v>173</v>
      </c>
      <c r="H35" s="39">
        <v>85.73</v>
      </c>
      <c r="I35" s="38">
        <v>0</v>
      </c>
      <c r="J35" s="39">
        <v>18.22</v>
      </c>
      <c r="K35" s="38">
        <v>0</v>
      </c>
      <c r="L35" s="3"/>
      <c r="M35" s="3"/>
      <c r="N35" s="39">
        <v>4.9400000000000004</v>
      </c>
      <c r="O35" s="39">
        <v>28.96</v>
      </c>
      <c r="P35" s="39">
        <v>19.05</v>
      </c>
      <c r="Q35" s="39">
        <v>18.87</v>
      </c>
      <c r="R35" s="39">
        <v>30.69</v>
      </c>
      <c r="S35" s="39">
        <v>27.7</v>
      </c>
      <c r="T35" s="39">
        <v>30.27</v>
      </c>
      <c r="U35" s="39">
        <v>31.2</v>
      </c>
      <c r="V35" s="39">
        <v>24.68</v>
      </c>
      <c r="W35" s="38" t="s">
        <v>173</v>
      </c>
      <c r="X35" s="38" t="s">
        <v>173</v>
      </c>
      <c r="Y35" s="38" t="s">
        <v>173</v>
      </c>
      <c r="Z35" s="38" t="s">
        <v>173</v>
      </c>
      <c r="AA35" s="38" t="s">
        <v>173</v>
      </c>
      <c r="AB35" s="38" t="s">
        <v>173</v>
      </c>
      <c r="AC35" s="38" t="s">
        <v>173</v>
      </c>
      <c r="AD35" s="3"/>
      <c r="AE35" s="39">
        <v>1.7000000000000001E-2</v>
      </c>
      <c r="AF35" s="38" t="s">
        <v>173</v>
      </c>
      <c r="AG35" s="3"/>
      <c r="AH35" s="38" t="s">
        <v>173</v>
      </c>
      <c r="AI35" s="38" t="s">
        <v>173</v>
      </c>
      <c r="AJ35" s="38" t="s">
        <v>173</v>
      </c>
      <c r="AK35" s="38" t="s">
        <v>173</v>
      </c>
      <c r="AL35" s="38" t="s">
        <v>173</v>
      </c>
      <c r="AM35" s="38" t="s">
        <v>173</v>
      </c>
      <c r="AN35" s="3"/>
      <c r="AO35" s="39">
        <v>0.24</v>
      </c>
      <c r="AP35" s="39">
        <v>0.16</v>
      </c>
      <c r="AQ35" s="39">
        <v>0.09</v>
      </c>
      <c r="AR35" s="38" t="s">
        <v>173</v>
      </c>
      <c r="AS35" s="38" t="s">
        <v>173</v>
      </c>
      <c r="AT35" s="39">
        <v>11.76</v>
      </c>
      <c r="AU35" s="39">
        <v>12.66</v>
      </c>
      <c r="AV35" s="39">
        <v>9.6300000000000008</v>
      </c>
      <c r="AW35" s="38" t="s">
        <v>173</v>
      </c>
      <c r="AX35" s="38" t="s">
        <v>173</v>
      </c>
      <c r="AY35" s="39">
        <v>28.96</v>
      </c>
      <c r="AZ35" s="39">
        <v>19.05</v>
      </c>
      <c r="BA35" s="39">
        <v>18.87</v>
      </c>
      <c r="BB35" s="38" t="s">
        <v>173</v>
      </c>
      <c r="BC35" s="38" t="s">
        <v>173</v>
      </c>
      <c r="BD35" s="84"/>
      <c r="BE35" s="84"/>
      <c r="BF35" s="38" t="s">
        <v>173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</row>
    <row r="36" spans="1:137" x14ac:dyDescent="0.25">
      <c r="A36" s="4">
        <v>2042</v>
      </c>
      <c r="B36" s="39">
        <v>7.0000000000000007E-2</v>
      </c>
      <c r="C36" s="39">
        <v>0.06</v>
      </c>
      <c r="D36" s="39">
        <v>0.08</v>
      </c>
      <c r="E36" s="39">
        <v>0.05</v>
      </c>
      <c r="F36" s="39">
        <v>0.05</v>
      </c>
      <c r="G36" s="38" t="s">
        <v>173</v>
      </c>
      <c r="H36" s="39">
        <v>85.54</v>
      </c>
      <c r="I36" s="38">
        <v>0</v>
      </c>
      <c r="J36" s="39">
        <v>18.21</v>
      </c>
      <c r="K36" s="38">
        <v>0</v>
      </c>
      <c r="L36" s="3"/>
      <c r="M36" s="3"/>
      <c r="N36" s="39">
        <v>4.9400000000000004</v>
      </c>
      <c r="O36" s="39">
        <v>29.1</v>
      </c>
      <c r="P36" s="39">
        <v>19.16</v>
      </c>
      <c r="Q36" s="39">
        <v>18.98</v>
      </c>
      <c r="R36" s="39">
        <v>30.85</v>
      </c>
      <c r="S36" s="39">
        <v>27.85</v>
      </c>
      <c r="T36" s="39">
        <v>30.51</v>
      </c>
      <c r="U36" s="39">
        <v>31.31</v>
      </c>
      <c r="V36" s="39">
        <v>24.43</v>
      </c>
      <c r="W36" s="38" t="s">
        <v>173</v>
      </c>
      <c r="X36" s="38" t="s">
        <v>173</v>
      </c>
      <c r="Y36" s="38" t="s">
        <v>173</v>
      </c>
      <c r="Z36" s="38" t="s">
        <v>173</v>
      </c>
      <c r="AA36" s="38" t="s">
        <v>173</v>
      </c>
      <c r="AB36" s="38" t="s">
        <v>173</v>
      </c>
      <c r="AC36" s="38" t="s">
        <v>173</v>
      </c>
      <c r="AD36" s="3"/>
      <c r="AE36" s="39">
        <v>1.7000000000000001E-2</v>
      </c>
      <c r="AF36" s="38" t="s">
        <v>173</v>
      </c>
      <c r="AG36" s="3"/>
      <c r="AH36" s="38" t="s">
        <v>173</v>
      </c>
      <c r="AI36" s="38" t="s">
        <v>173</v>
      </c>
      <c r="AJ36" s="38" t="s">
        <v>173</v>
      </c>
      <c r="AK36" s="38" t="s">
        <v>173</v>
      </c>
      <c r="AL36" s="38" t="s">
        <v>173</v>
      </c>
      <c r="AM36" s="38" t="s">
        <v>173</v>
      </c>
      <c r="AN36" s="3"/>
      <c r="AO36" s="39">
        <v>0.25</v>
      </c>
      <c r="AP36" s="39">
        <v>0.17</v>
      </c>
      <c r="AQ36" s="39">
        <v>0.09</v>
      </c>
      <c r="AR36" s="38" t="s">
        <v>173</v>
      </c>
      <c r="AS36" s="38" t="s">
        <v>173</v>
      </c>
      <c r="AT36" s="39">
        <v>11.88</v>
      </c>
      <c r="AU36" s="39">
        <v>12.75</v>
      </c>
      <c r="AV36" s="39">
        <v>9.7100000000000009</v>
      </c>
      <c r="AW36" s="38" t="s">
        <v>173</v>
      </c>
      <c r="AX36" s="38" t="s">
        <v>173</v>
      </c>
      <c r="AY36" s="39">
        <v>29.1</v>
      </c>
      <c r="AZ36" s="39">
        <v>19.16</v>
      </c>
      <c r="BA36" s="39">
        <v>18.98</v>
      </c>
      <c r="BB36" s="38" t="s">
        <v>173</v>
      </c>
      <c r="BC36" s="38" t="s">
        <v>173</v>
      </c>
      <c r="BD36" s="84"/>
      <c r="BE36" s="84"/>
      <c r="BF36" s="38" t="s">
        <v>173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</row>
    <row r="37" spans="1:137" x14ac:dyDescent="0.25">
      <c r="A37" s="4">
        <v>2043</v>
      </c>
      <c r="B37" s="39">
        <v>0.08</v>
      </c>
      <c r="C37" s="39">
        <v>0.06</v>
      </c>
      <c r="D37" s="39">
        <v>0.08</v>
      </c>
      <c r="E37" s="39">
        <v>0.06</v>
      </c>
      <c r="F37" s="39">
        <v>0.05</v>
      </c>
      <c r="G37" s="38" t="s">
        <v>173</v>
      </c>
      <c r="H37" s="39">
        <v>85.35</v>
      </c>
      <c r="I37" s="38">
        <v>0</v>
      </c>
      <c r="J37" s="39">
        <v>18.2</v>
      </c>
      <c r="K37" s="38">
        <v>0</v>
      </c>
      <c r="L37" s="3"/>
      <c r="M37" s="3"/>
      <c r="N37" s="39">
        <v>4.9400000000000004</v>
      </c>
      <c r="O37" s="39">
        <v>29.57</v>
      </c>
      <c r="P37" s="39">
        <v>19.46</v>
      </c>
      <c r="Q37" s="39">
        <v>19.27</v>
      </c>
      <c r="R37" s="39">
        <v>31.21</v>
      </c>
      <c r="S37" s="39">
        <v>28.31</v>
      </c>
      <c r="T37" s="39">
        <v>31.24</v>
      </c>
      <c r="U37" s="39">
        <v>31.71</v>
      </c>
      <c r="V37" s="39">
        <v>24.46</v>
      </c>
      <c r="W37" s="38" t="s">
        <v>173</v>
      </c>
      <c r="X37" s="38" t="s">
        <v>173</v>
      </c>
      <c r="Y37" s="38" t="s">
        <v>173</v>
      </c>
      <c r="Z37" s="38" t="s">
        <v>173</v>
      </c>
      <c r="AA37" s="38" t="s">
        <v>173</v>
      </c>
      <c r="AB37" s="38" t="s">
        <v>173</v>
      </c>
      <c r="AC37" s="38" t="s">
        <v>173</v>
      </c>
      <c r="AD37" s="3"/>
      <c r="AE37" s="39">
        <v>1.7000000000000001E-2</v>
      </c>
      <c r="AF37" s="38" t="s">
        <v>173</v>
      </c>
      <c r="AG37" s="3"/>
      <c r="AH37" s="38" t="s">
        <v>173</v>
      </c>
      <c r="AI37" s="38" t="s">
        <v>173</v>
      </c>
      <c r="AJ37" s="38" t="s">
        <v>173</v>
      </c>
      <c r="AK37" s="38" t="s">
        <v>173</v>
      </c>
      <c r="AL37" s="38" t="s">
        <v>173</v>
      </c>
      <c r="AM37" s="38" t="s">
        <v>173</v>
      </c>
      <c r="AN37" s="3"/>
      <c r="AO37" s="39">
        <v>0.25</v>
      </c>
      <c r="AP37" s="39">
        <v>0.17</v>
      </c>
      <c r="AQ37" s="39">
        <v>0.09</v>
      </c>
      <c r="AR37" s="38" t="s">
        <v>173</v>
      </c>
      <c r="AS37" s="38" t="s">
        <v>173</v>
      </c>
      <c r="AT37" s="39">
        <v>12.01</v>
      </c>
      <c r="AU37" s="39">
        <v>12.84</v>
      </c>
      <c r="AV37" s="39">
        <v>9.7799999999999994</v>
      </c>
      <c r="AW37" s="38" t="s">
        <v>173</v>
      </c>
      <c r="AX37" s="38" t="s">
        <v>173</v>
      </c>
      <c r="AY37" s="39">
        <v>29.57</v>
      </c>
      <c r="AZ37" s="39">
        <v>19.46</v>
      </c>
      <c r="BA37" s="39">
        <v>19.27</v>
      </c>
      <c r="BB37" s="38" t="s">
        <v>173</v>
      </c>
      <c r="BC37" s="38" t="s">
        <v>173</v>
      </c>
      <c r="BD37" s="84"/>
      <c r="BE37" s="84"/>
      <c r="BF37" s="38" t="s">
        <v>173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</row>
    <row r="38" spans="1:137" x14ac:dyDescent="0.25">
      <c r="A38" s="4">
        <v>2044</v>
      </c>
      <c r="B38" s="39">
        <v>0.08</v>
      </c>
      <c r="C38" s="39">
        <v>0.06</v>
      </c>
      <c r="D38" s="39">
        <v>0.08</v>
      </c>
      <c r="E38" s="39">
        <v>0.06</v>
      </c>
      <c r="F38" s="39">
        <v>0.05</v>
      </c>
      <c r="G38" s="38" t="s">
        <v>173</v>
      </c>
      <c r="H38" s="39">
        <v>85.18</v>
      </c>
      <c r="I38" s="38">
        <v>0</v>
      </c>
      <c r="J38" s="39">
        <v>18.2</v>
      </c>
      <c r="K38" s="38">
        <v>0</v>
      </c>
      <c r="L38" s="3"/>
      <c r="M38" s="3"/>
      <c r="N38" s="39">
        <v>4.9400000000000004</v>
      </c>
      <c r="O38" s="39">
        <v>29.83</v>
      </c>
      <c r="P38" s="39">
        <v>19.649999999999999</v>
      </c>
      <c r="Q38" s="39">
        <v>19.46</v>
      </c>
      <c r="R38" s="39">
        <v>31.5</v>
      </c>
      <c r="S38" s="39">
        <v>28.54</v>
      </c>
      <c r="T38" s="39">
        <v>31.62</v>
      </c>
      <c r="U38" s="39">
        <v>31.97</v>
      </c>
      <c r="V38" s="39">
        <v>23.38</v>
      </c>
      <c r="W38" s="38" t="s">
        <v>173</v>
      </c>
      <c r="X38" s="38" t="s">
        <v>173</v>
      </c>
      <c r="Y38" s="38" t="s">
        <v>173</v>
      </c>
      <c r="Z38" s="38" t="s">
        <v>173</v>
      </c>
      <c r="AA38" s="38" t="s">
        <v>173</v>
      </c>
      <c r="AB38" s="38" t="s">
        <v>173</v>
      </c>
      <c r="AC38" s="38" t="s">
        <v>173</v>
      </c>
      <c r="AD38" s="3"/>
      <c r="AE38" s="39">
        <v>1.7000000000000001E-2</v>
      </c>
      <c r="AF38" s="38" t="s">
        <v>173</v>
      </c>
      <c r="AG38" s="3"/>
      <c r="AH38" s="38" t="s">
        <v>173</v>
      </c>
      <c r="AI38" s="38" t="s">
        <v>173</v>
      </c>
      <c r="AJ38" s="38" t="s">
        <v>173</v>
      </c>
      <c r="AK38" s="38" t="s">
        <v>173</v>
      </c>
      <c r="AL38" s="38" t="s">
        <v>173</v>
      </c>
      <c r="AM38" s="38" t="s">
        <v>173</v>
      </c>
      <c r="AN38" s="3"/>
      <c r="AO38" s="39">
        <v>0.25</v>
      </c>
      <c r="AP38" s="39">
        <v>0.17</v>
      </c>
      <c r="AQ38" s="39">
        <v>0.09</v>
      </c>
      <c r="AR38" s="38" t="s">
        <v>173</v>
      </c>
      <c r="AS38" s="38" t="s">
        <v>173</v>
      </c>
      <c r="AT38" s="39">
        <v>12.09</v>
      </c>
      <c r="AU38" s="39">
        <v>12.88</v>
      </c>
      <c r="AV38" s="39">
        <v>9.8000000000000007</v>
      </c>
      <c r="AW38" s="38" t="s">
        <v>173</v>
      </c>
      <c r="AX38" s="38" t="s">
        <v>173</v>
      </c>
      <c r="AY38" s="39">
        <v>29.83</v>
      </c>
      <c r="AZ38" s="39">
        <v>19.649999999999999</v>
      </c>
      <c r="BA38" s="39">
        <v>19.46</v>
      </c>
      <c r="BB38" s="38" t="s">
        <v>173</v>
      </c>
      <c r="BC38" s="38" t="s">
        <v>173</v>
      </c>
      <c r="BD38" s="84"/>
      <c r="BE38" s="84"/>
      <c r="BF38" s="38" t="s">
        <v>173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</row>
    <row r="39" spans="1:137" x14ac:dyDescent="0.25">
      <c r="A39" s="4">
        <v>2045</v>
      </c>
      <c r="B39" s="39">
        <v>0.08</v>
      </c>
      <c r="C39" s="39">
        <v>0.06</v>
      </c>
      <c r="D39" s="39">
        <v>0.08</v>
      </c>
      <c r="E39" s="39">
        <v>0.06</v>
      </c>
      <c r="F39" s="39">
        <v>0.05</v>
      </c>
      <c r="G39" s="38" t="s">
        <v>173</v>
      </c>
      <c r="H39" s="39">
        <v>85.03</v>
      </c>
      <c r="I39" s="38">
        <v>0</v>
      </c>
      <c r="J39" s="39">
        <v>18.2</v>
      </c>
      <c r="K39" s="38">
        <v>0</v>
      </c>
      <c r="L39" s="3"/>
      <c r="M39" s="3"/>
      <c r="N39" s="39">
        <v>4.93</v>
      </c>
      <c r="O39" s="39">
        <v>29.94</v>
      </c>
      <c r="P39" s="39">
        <v>19.71</v>
      </c>
      <c r="Q39" s="39">
        <v>19.52</v>
      </c>
      <c r="R39" s="39">
        <v>31.77</v>
      </c>
      <c r="S39" s="39">
        <v>28.76</v>
      </c>
      <c r="T39" s="39">
        <v>31.97</v>
      </c>
      <c r="U39" s="39">
        <v>32.07</v>
      </c>
      <c r="V39" s="39">
        <v>23.44</v>
      </c>
      <c r="W39" s="38" t="s">
        <v>173</v>
      </c>
      <c r="X39" s="38" t="s">
        <v>173</v>
      </c>
      <c r="Y39" s="38" t="s">
        <v>173</v>
      </c>
      <c r="Z39" s="38" t="s">
        <v>173</v>
      </c>
      <c r="AA39" s="38" t="s">
        <v>173</v>
      </c>
      <c r="AB39" s="38" t="s">
        <v>173</v>
      </c>
      <c r="AC39" s="38" t="s">
        <v>173</v>
      </c>
      <c r="AD39" s="3"/>
      <c r="AE39" s="39">
        <v>1.7000000000000001E-2</v>
      </c>
      <c r="AF39" s="38" t="s">
        <v>173</v>
      </c>
      <c r="AG39" s="3"/>
      <c r="AH39" s="38" t="s">
        <v>173</v>
      </c>
      <c r="AI39" s="38" t="s">
        <v>173</v>
      </c>
      <c r="AJ39" s="38" t="s">
        <v>173</v>
      </c>
      <c r="AK39" s="38" t="s">
        <v>173</v>
      </c>
      <c r="AL39" s="38" t="s">
        <v>173</v>
      </c>
      <c r="AM39" s="38" t="s">
        <v>173</v>
      </c>
      <c r="AN39" s="3"/>
      <c r="AO39" s="39">
        <v>0.25</v>
      </c>
      <c r="AP39" s="39">
        <v>0.17</v>
      </c>
      <c r="AQ39" s="39">
        <v>0.09</v>
      </c>
      <c r="AR39" s="38" t="s">
        <v>173</v>
      </c>
      <c r="AS39" s="38" t="s">
        <v>173</v>
      </c>
      <c r="AT39" s="39">
        <v>12.2</v>
      </c>
      <c r="AU39" s="39">
        <v>12.96</v>
      </c>
      <c r="AV39" s="39">
        <v>9.86</v>
      </c>
      <c r="AW39" s="38" t="s">
        <v>173</v>
      </c>
      <c r="AX39" s="38" t="s">
        <v>173</v>
      </c>
      <c r="AY39" s="39">
        <v>29.94</v>
      </c>
      <c r="AZ39" s="39">
        <v>19.71</v>
      </c>
      <c r="BA39" s="39">
        <v>19.52</v>
      </c>
      <c r="BB39" s="38" t="s">
        <v>173</v>
      </c>
      <c r="BC39" s="38" t="s">
        <v>173</v>
      </c>
      <c r="BD39" s="84"/>
      <c r="BE39" s="84"/>
      <c r="BF39" s="38" t="s">
        <v>173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</row>
    <row r="40" spans="1:137" x14ac:dyDescent="0.25">
      <c r="A40" s="4">
        <v>2046</v>
      </c>
      <c r="B40" s="39">
        <v>0.08</v>
      </c>
      <c r="C40" s="39">
        <v>0.06</v>
      </c>
      <c r="D40" s="39">
        <v>0.08</v>
      </c>
      <c r="E40" s="39">
        <v>0.06</v>
      </c>
      <c r="F40" s="39">
        <v>0.05</v>
      </c>
      <c r="G40" s="38" t="s">
        <v>173</v>
      </c>
      <c r="H40" s="39">
        <v>84.91</v>
      </c>
      <c r="I40" s="38">
        <v>0</v>
      </c>
      <c r="J40" s="39">
        <v>18.190000000000001</v>
      </c>
      <c r="K40" s="38">
        <v>0</v>
      </c>
      <c r="L40" s="3"/>
      <c r="M40" s="3"/>
      <c r="N40" s="39">
        <v>4.93</v>
      </c>
      <c r="O40" s="39">
        <v>30.3</v>
      </c>
      <c r="P40" s="39">
        <v>19.95</v>
      </c>
      <c r="Q40" s="39">
        <v>19.760000000000002</v>
      </c>
      <c r="R40" s="39">
        <v>32.06</v>
      </c>
      <c r="S40" s="39">
        <v>29.01</v>
      </c>
      <c r="T40" s="39">
        <v>32.39</v>
      </c>
      <c r="U40" s="39">
        <v>32.340000000000003</v>
      </c>
      <c r="V40" s="39">
        <v>23.01</v>
      </c>
      <c r="W40" s="38" t="s">
        <v>173</v>
      </c>
      <c r="X40" s="38" t="s">
        <v>173</v>
      </c>
      <c r="Y40" s="38" t="s">
        <v>173</v>
      </c>
      <c r="Z40" s="38" t="s">
        <v>173</v>
      </c>
      <c r="AA40" s="38" t="s">
        <v>173</v>
      </c>
      <c r="AB40" s="38" t="s">
        <v>173</v>
      </c>
      <c r="AC40" s="38" t="s">
        <v>173</v>
      </c>
      <c r="AD40" s="3"/>
      <c r="AE40" s="39">
        <v>1.7000000000000001E-2</v>
      </c>
      <c r="AF40" s="38" t="s">
        <v>173</v>
      </c>
      <c r="AG40" s="3"/>
      <c r="AH40" s="38" t="s">
        <v>173</v>
      </c>
      <c r="AI40" s="38" t="s">
        <v>173</v>
      </c>
      <c r="AJ40" s="38" t="s">
        <v>173</v>
      </c>
      <c r="AK40" s="38" t="s">
        <v>173</v>
      </c>
      <c r="AL40" s="38" t="s">
        <v>173</v>
      </c>
      <c r="AM40" s="38" t="s">
        <v>173</v>
      </c>
      <c r="AN40" s="3"/>
      <c r="AO40" s="39">
        <v>0.25</v>
      </c>
      <c r="AP40" s="39">
        <v>0.17</v>
      </c>
      <c r="AQ40" s="39">
        <v>0.09</v>
      </c>
      <c r="AR40" s="38" t="s">
        <v>173</v>
      </c>
      <c r="AS40" s="38" t="s">
        <v>173</v>
      </c>
      <c r="AT40" s="39">
        <v>12.33</v>
      </c>
      <c r="AU40" s="39">
        <v>13.07</v>
      </c>
      <c r="AV40" s="39">
        <v>9.9600000000000009</v>
      </c>
      <c r="AW40" s="38" t="s">
        <v>173</v>
      </c>
      <c r="AX40" s="38" t="s">
        <v>173</v>
      </c>
      <c r="AY40" s="39">
        <v>30.3</v>
      </c>
      <c r="AZ40" s="39">
        <v>19.95</v>
      </c>
      <c r="BA40" s="39">
        <v>19.760000000000002</v>
      </c>
      <c r="BB40" s="38" t="s">
        <v>173</v>
      </c>
      <c r="BC40" s="38" t="s">
        <v>173</v>
      </c>
      <c r="BD40" s="84"/>
      <c r="BE40" s="84"/>
      <c r="BF40" s="38" t="s">
        <v>173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</row>
    <row r="41" spans="1:137" x14ac:dyDescent="0.25">
      <c r="A41" s="4">
        <v>2047</v>
      </c>
      <c r="B41" s="39">
        <v>0.08</v>
      </c>
      <c r="C41" s="39">
        <v>0.06</v>
      </c>
      <c r="D41" s="39">
        <v>0.08</v>
      </c>
      <c r="E41" s="39">
        <v>0.06</v>
      </c>
      <c r="F41" s="39">
        <v>0.05</v>
      </c>
      <c r="G41" s="38" t="s">
        <v>173</v>
      </c>
      <c r="H41" s="39">
        <v>84.79</v>
      </c>
      <c r="I41" s="38">
        <v>0</v>
      </c>
      <c r="J41" s="39">
        <v>18.18</v>
      </c>
      <c r="K41" s="38">
        <v>0</v>
      </c>
      <c r="L41" s="3"/>
      <c r="M41" s="3"/>
      <c r="N41" s="39">
        <v>4.92</v>
      </c>
      <c r="O41" s="39">
        <v>31.07</v>
      </c>
      <c r="P41" s="39">
        <v>20.440000000000001</v>
      </c>
      <c r="Q41" s="39">
        <v>20.239999999999998</v>
      </c>
      <c r="R41" s="39">
        <v>32.520000000000003</v>
      </c>
      <c r="S41" s="39">
        <v>29.55</v>
      </c>
      <c r="T41" s="39">
        <v>33.26</v>
      </c>
      <c r="U41" s="39">
        <v>33.04</v>
      </c>
      <c r="V41" s="39">
        <v>23.39</v>
      </c>
      <c r="W41" s="38" t="s">
        <v>173</v>
      </c>
      <c r="X41" s="38" t="s">
        <v>173</v>
      </c>
      <c r="Y41" s="38" t="s">
        <v>173</v>
      </c>
      <c r="Z41" s="38" t="s">
        <v>173</v>
      </c>
      <c r="AA41" s="38" t="s">
        <v>173</v>
      </c>
      <c r="AB41" s="38" t="s">
        <v>173</v>
      </c>
      <c r="AC41" s="38" t="s">
        <v>173</v>
      </c>
      <c r="AD41" s="3"/>
      <c r="AE41" s="39">
        <v>1.7000000000000001E-2</v>
      </c>
      <c r="AF41" s="38" t="s">
        <v>173</v>
      </c>
      <c r="AG41" s="3"/>
      <c r="AH41" s="38" t="s">
        <v>173</v>
      </c>
      <c r="AI41" s="38" t="s">
        <v>173</v>
      </c>
      <c r="AJ41" s="38" t="s">
        <v>173</v>
      </c>
      <c r="AK41" s="38" t="s">
        <v>173</v>
      </c>
      <c r="AL41" s="38" t="s">
        <v>173</v>
      </c>
      <c r="AM41" s="38" t="s">
        <v>173</v>
      </c>
      <c r="AN41" s="3"/>
      <c r="AO41" s="39">
        <v>0.26</v>
      </c>
      <c r="AP41" s="39">
        <v>0.17</v>
      </c>
      <c r="AQ41" s="39">
        <v>0.1</v>
      </c>
      <c r="AR41" s="38" t="s">
        <v>173</v>
      </c>
      <c r="AS41" s="38" t="s">
        <v>173</v>
      </c>
      <c r="AT41" s="39">
        <v>12.38</v>
      </c>
      <c r="AU41" s="39">
        <v>13.07</v>
      </c>
      <c r="AV41" s="39">
        <v>9.91</v>
      </c>
      <c r="AW41" s="38" t="s">
        <v>173</v>
      </c>
      <c r="AX41" s="38" t="s">
        <v>173</v>
      </c>
      <c r="AY41" s="39">
        <v>31.07</v>
      </c>
      <c r="AZ41" s="39">
        <v>20.440000000000001</v>
      </c>
      <c r="BA41" s="39">
        <v>20.239999999999998</v>
      </c>
      <c r="BB41" s="38" t="s">
        <v>173</v>
      </c>
      <c r="BC41" s="38" t="s">
        <v>173</v>
      </c>
      <c r="BD41" s="84"/>
      <c r="BE41" s="84"/>
      <c r="BF41" s="38" t="s">
        <v>173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</row>
    <row r="42" spans="1:137" x14ac:dyDescent="0.25">
      <c r="A42" s="4">
        <v>2048</v>
      </c>
      <c r="B42" s="39">
        <v>0.08</v>
      </c>
      <c r="C42" s="39">
        <v>0.06</v>
      </c>
      <c r="D42" s="39">
        <v>0.08</v>
      </c>
      <c r="E42" s="39">
        <v>0.06</v>
      </c>
      <c r="F42" s="39">
        <v>0.05</v>
      </c>
      <c r="G42" s="38" t="s">
        <v>173</v>
      </c>
      <c r="H42" s="39">
        <v>84.68</v>
      </c>
      <c r="I42" s="38">
        <v>0</v>
      </c>
      <c r="J42" s="39">
        <v>18.170000000000002</v>
      </c>
      <c r="K42" s="38">
        <v>0</v>
      </c>
      <c r="L42" s="3"/>
      <c r="M42" s="3"/>
      <c r="N42" s="39">
        <v>4.92</v>
      </c>
      <c r="O42" s="39">
        <v>31.08</v>
      </c>
      <c r="P42" s="39">
        <v>20.440000000000001</v>
      </c>
      <c r="Q42" s="39">
        <v>20.25</v>
      </c>
      <c r="R42" s="39">
        <v>32.840000000000003</v>
      </c>
      <c r="S42" s="39">
        <v>29.74</v>
      </c>
      <c r="T42" s="39">
        <v>33.58</v>
      </c>
      <c r="U42" s="39">
        <v>33.1</v>
      </c>
      <c r="V42" s="39">
        <v>23.51</v>
      </c>
      <c r="W42" s="38" t="s">
        <v>173</v>
      </c>
      <c r="X42" s="38" t="s">
        <v>173</v>
      </c>
      <c r="Y42" s="38" t="s">
        <v>173</v>
      </c>
      <c r="Z42" s="38" t="s">
        <v>173</v>
      </c>
      <c r="AA42" s="38" t="s">
        <v>173</v>
      </c>
      <c r="AB42" s="38" t="s">
        <v>173</v>
      </c>
      <c r="AC42" s="38" t="s">
        <v>173</v>
      </c>
      <c r="AD42" s="3"/>
      <c r="AE42" s="39">
        <v>1.7000000000000001E-2</v>
      </c>
      <c r="AF42" s="38" t="s">
        <v>173</v>
      </c>
      <c r="AG42" s="3"/>
      <c r="AH42" s="38" t="s">
        <v>173</v>
      </c>
      <c r="AI42" s="38" t="s">
        <v>173</v>
      </c>
      <c r="AJ42" s="38" t="s">
        <v>173</v>
      </c>
      <c r="AK42" s="38" t="s">
        <v>173</v>
      </c>
      <c r="AL42" s="38" t="s">
        <v>173</v>
      </c>
      <c r="AM42" s="38" t="s">
        <v>173</v>
      </c>
      <c r="AN42" s="3"/>
      <c r="AO42" s="39">
        <v>0.26</v>
      </c>
      <c r="AP42" s="39">
        <v>0.17</v>
      </c>
      <c r="AQ42" s="39">
        <v>0.1</v>
      </c>
      <c r="AR42" s="38" t="s">
        <v>173</v>
      </c>
      <c r="AS42" s="38" t="s">
        <v>173</v>
      </c>
      <c r="AT42" s="39">
        <v>12.37</v>
      </c>
      <c r="AU42" s="39">
        <v>13.01</v>
      </c>
      <c r="AV42" s="39">
        <v>9.82</v>
      </c>
      <c r="AW42" s="38" t="s">
        <v>173</v>
      </c>
      <c r="AX42" s="38" t="s">
        <v>173</v>
      </c>
      <c r="AY42" s="39">
        <v>31.08</v>
      </c>
      <c r="AZ42" s="39">
        <v>20.440000000000001</v>
      </c>
      <c r="BA42" s="39">
        <v>20.25</v>
      </c>
      <c r="BB42" s="38" t="s">
        <v>173</v>
      </c>
      <c r="BC42" s="38" t="s">
        <v>173</v>
      </c>
      <c r="BD42" s="84"/>
      <c r="BE42" s="84"/>
      <c r="BF42" s="38" t="s">
        <v>173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</row>
    <row r="43" spans="1:137" x14ac:dyDescent="0.25">
      <c r="A43" s="4">
        <v>2049</v>
      </c>
      <c r="B43" s="39">
        <v>0.08</v>
      </c>
      <c r="C43" s="39">
        <v>0.06</v>
      </c>
      <c r="D43" s="39">
        <v>0.08</v>
      </c>
      <c r="E43" s="39">
        <v>0.06</v>
      </c>
      <c r="F43" s="39">
        <v>0.05</v>
      </c>
      <c r="G43" s="38" t="s">
        <v>173</v>
      </c>
      <c r="H43" s="39">
        <v>83.26</v>
      </c>
      <c r="I43" s="38">
        <v>0</v>
      </c>
      <c r="J43" s="39">
        <v>17.64</v>
      </c>
      <c r="K43" s="38">
        <v>0</v>
      </c>
      <c r="L43" s="3"/>
      <c r="M43" s="3"/>
      <c r="N43" s="39">
        <v>4.78</v>
      </c>
      <c r="O43" s="39">
        <v>31.16</v>
      </c>
      <c r="P43" s="39">
        <v>20.440000000000001</v>
      </c>
      <c r="Q43" s="39">
        <v>20.239999999999998</v>
      </c>
      <c r="R43" s="39">
        <v>33.07</v>
      </c>
      <c r="S43" s="39">
        <v>29.87</v>
      </c>
      <c r="T43" s="39">
        <v>33.799999999999997</v>
      </c>
      <c r="U43" s="39">
        <v>33.06</v>
      </c>
      <c r="V43" s="39">
        <v>23.56</v>
      </c>
      <c r="W43" s="38" t="s">
        <v>173</v>
      </c>
      <c r="X43" s="38" t="s">
        <v>173</v>
      </c>
      <c r="Y43" s="38" t="s">
        <v>173</v>
      </c>
      <c r="Z43" s="38" t="s">
        <v>173</v>
      </c>
      <c r="AA43" s="38" t="s">
        <v>173</v>
      </c>
      <c r="AB43" s="38" t="s">
        <v>173</v>
      </c>
      <c r="AC43" s="38" t="s">
        <v>173</v>
      </c>
      <c r="AD43" s="3"/>
      <c r="AE43" s="39">
        <v>1.7000000000000001E-2</v>
      </c>
      <c r="AF43" s="38" t="s">
        <v>173</v>
      </c>
      <c r="AG43" s="3"/>
      <c r="AH43" s="38" t="s">
        <v>173</v>
      </c>
      <c r="AI43" s="38" t="s">
        <v>173</v>
      </c>
      <c r="AJ43" s="38" t="s">
        <v>173</v>
      </c>
      <c r="AK43" s="38" t="s">
        <v>173</v>
      </c>
      <c r="AL43" s="38" t="s">
        <v>173</v>
      </c>
      <c r="AM43" s="38" t="s">
        <v>173</v>
      </c>
      <c r="AN43" s="3"/>
      <c r="AO43" s="39">
        <v>0.25</v>
      </c>
      <c r="AP43" s="39">
        <v>0.17</v>
      </c>
      <c r="AQ43" s="39">
        <v>0.09</v>
      </c>
      <c r="AR43" s="38" t="s">
        <v>173</v>
      </c>
      <c r="AS43" s="38" t="s">
        <v>173</v>
      </c>
      <c r="AT43" s="39">
        <v>12.37</v>
      </c>
      <c r="AU43" s="39">
        <v>12.98</v>
      </c>
      <c r="AV43" s="39">
        <v>9.7100000000000009</v>
      </c>
      <c r="AW43" s="38" t="s">
        <v>173</v>
      </c>
      <c r="AX43" s="38" t="s">
        <v>173</v>
      </c>
      <c r="AY43" s="39">
        <v>31.16</v>
      </c>
      <c r="AZ43" s="39">
        <v>20.440000000000001</v>
      </c>
      <c r="BA43" s="39">
        <v>20.239999999999998</v>
      </c>
      <c r="BB43" s="38" t="s">
        <v>173</v>
      </c>
      <c r="BC43" s="38" t="s">
        <v>173</v>
      </c>
      <c r="BD43" s="84"/>
      <c r="BE43" s="84"/>
      <c r="BF43" s="38" t="s">
        <v>173</v>
      </c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</row>
    <row r="44" spans="1:137" x14ac:dyDescent="0.25">
      <c r="A44" s="4">
        <v>2050</v>
      </c>
      <c r="B44" s="39">
        <v>0.08</v>
      </c>
      <c r="C44" s="39">
        <v>0.06</v>
      </c>
      <c r="D44" s="39">
        <v>0.08</v>
      </c>
      <c r="E44" s="39">
        <v>0.06</v>
      </c>
      <c r="F44" s="39">
        <v>0.05</v>
      </c>
      <c r="G44" s="38" t="s">
        <v>173</v>
      </c>
      <c r="H44" s="39">
        <v>81.709999999999994</v>
      </c>
      <c r="I44" s="38">
        <v>0</v>
      </c>
      <c r="J44" s="39">
        <v>17.100000000000001</v>
      </c>
      <c r="K44" s="38">
        <v>0</v>
      </c>
      <c r="L44" s="3"/>
      <c r="M44" s="3"/>
      <c r="N44" s="39">
        <v>4.68</v>
      </c>
      <c r="O44" s="39">
        <v>31.29</v>
      </c>
      <c r="P44" s="39">
        <v>20.55</v>
      </c>
      <c r="Q44" s="39">
        <v>20.34</v>
      </c>
      <c r="R44" s="39">
        <v>33.229999999999997</v>
      </c>
      <c r="S44" s="39">
        <v>29.95</v>
      </c>
      <c r="T44" s="39">
        <v>33.93</v>
      </c>
      <c r="U44" s="39">
        <v>33.130000000000003</v>
      </c>
      <c r="V44" s="39">
        <v>23.79</v>
      </c>
      <c r="W44" s="38" t="s">
        <v>173</v>
      </c>
      <c r="X44" s="38" t="s">
        <v>173</v>
      </c>
      <c r="Y44" s="38" t="s">
        <v>173</v>
      </c>
      <c r="Z44" s="38" t="s">
        <v>173</v>
      </c>
      <c r="AA44" s="38" t="s">
        <v>173</v>
      </c>
      <c r="AB44" s="38" t="s">
        <v>173</v>
      </c>
      <c r="AC44" s="38" t="s">
        <v>173</v>
      </c>
      <c r="AD44" s="3"/>
      <c r="AE44" s="39">
        <v>1.7000000000000001E-2</v>
      </c>
      <c r="AF44" s="38" t="s">
        <v>173</v>
      </c>
      <c r="AG44" s="3"/>
      <c r="AH44" s="38" t="s">
        <v>173</v>
      </c>
      <c r="AI44" s="38" t="s">
        <v>173</v>
      </c>
      <c r="AJ44" s="38" t="s">
        <v>173</v>
      </c>
      <c r="AK44" s="38" t="s">
        <v>173</v>
      </c>
      <c r="AL44" s="38" t="s">
        <v>173</v>
      </c>
      <c r="AM44" s="38" t="s">
        <v>173</v>
      </c>
      <c r="AN44" s="3"/>
      <c r="AO44" s="39">
        <v>0.25</v>
      </c>
      <c r="AP44" s="39">
        <v>0.17</v>
      </c>
      <c r="AQ44" s="39">
        <v>0.09</v>
      </c>
      <c r="AR44" s="38" t="s">
        <v>173</v>
      </c>
      <c r="AS44" s="38" t="s">
        <v>173</v>
      </c>
      <c r="AT44" s="39">
        <v>12.35</v>
      </c>
      <c r="AU44" s="39">
        <v>12.92</v>
      </c>
      <c r="AV44" s="39">
        <v>9.61</v>
      </c>
      <c r="AW44" s="38" t="s">
        <v>173</v>
      </c>
      <c r="AX44" s="38" t="s">
        <v>173</v>
      </c>
      <c r="AY44" s="39">
        <v>31.29</v>
      </c>
      <c r="AZ44" s="39">
        <v>20.55</v>
      </c>
      <c r="BA44" s="39">
        <v>20.34</v>
      </c>
      <c r="BB44" s="38" t="s">
        <v>173</v>
      </c>
      <c r="BC44" s="38" t="s">
        <v>173</v>
      </c>
      <c r="BD44" s="84"/>
      <c r="BE44" s="84"/>
      <c r="BF44" s="38" t="s">
        <v>173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</row>
    <row r="45" spans="1:137" x14ac:dyDescent="0.25">
      <c r="A45" s="4">
        <v>2051</v>
      </c>
      <c r="B45" s="41">
        <v>0.08</v>
      </c>
      <c r="C45" s="41">
        <v>0.06</v>
      </c>
      <c r="D45" s="41">
        <v>0.08</v>
      </c>
      <c r="E45" s="41">
        <v>0.06</v>
      </c>
      <c r="F45" s="41">
        <v>0.05</v>
      </c>
      <c r="G45" s="40" t="s">
        <v>173</v>
      </c>
      <c r="H45" s="41">
        <v>81.709999999999994</v>
      </c>
      <c r="I45" s="38">
        <v>0</v>
      </c>
      <c r="J45" s="41">
        <v>17.100000000000001</v>
      </c>
      <c r="K45" s="38">
        <v>0</v>
      </c>
      <c r="L45" s="3"/>
      <c r="M45" s="3"/>
      <c r="N45" s="41">
        <v>4.68</v>
      </c>
      <c r="O45" s="41">
        <v>31.29</v>
      </c>
      <c r="P45" s="41">
        <v>20.55</v>
      </c>
      <c r="Q45" s="41">
        <v>20.34</v>
      </c>
      <c r="R45" s="41">
        <v>33.229999999999997</v>
      </c>
      <c r="S45" s="41">
        <v>29.95</v>
      </c>
      <c r="T45" s="41">
        <v>33.93</v>
      </c>
      <c r="U45" s="41">
        <v>33.130000000000003</v>
      </c>
      <c r="V45" s="41">
        <v>23.79</v>
      </c>
      <c r="W45" s="38" t="s">
        <v>173</v>
      </c>
      <c r="X45" s="38" t="s">
        <v>173</v>
      </c>
      <c r="Y45" s="38" t="s">
        <v>173</v>
      </c>
      <c r="Z45" s="38" t="s">
        <v>173</v>
      </c>
      <c r="AA45" s="38" t="s">
        <v>173</v>
      </c>
      <c r="AB45" s="38" t="s">
        <v>173</v>
      </c>
      <c r="AC45" s="38" t="s">
        <v>173</v>
      </c>
      <c r="AD45" s="3"/>
      <c r="AE45" s="41">
        <v>1.7000000000000001E-2</v>
      </c>
      <c r="AF45" s="38" t="s">
        <v>173</v>
      </c>
      <c r="AG45" s="3"/>
      <c r="AH45" s="38" t="s">
        <v>173</v>
      </c>
      <c r="AI45" s="38" t="s">
        <v>173</v>
      </c>
      <c r="AJ45" s="38" t="s">
        <v>173</v>
      </c>
      <c r="AK45" s="38" t="s">
        <v>173</v>
      </c>
      <c r="AL45" s="38" t="s">
        <v>173</v>
      </c>
      <c r="AM45" s="38" t="s">
        <v>173</v>
      </c>
      <c r="AN45" s="3"/>
      <c r="AO45" s="41">
        <v>0.25</v>
      </c>
      <c r="AP45" s="41">
        <v>0.17</v>
      </c>
      <c r="AQ45" s="41">
        <v>0.09</v>
      </c>
      <c r="AR45" s="38" t="s">
        <v>173</v>
      </c>
      <c r="AS45" s="38" t="s">
        <v>173</v>
      </c>
      <c r="AT45" s="41">
        <v>12.35</v>
      </c>
      <c r="AU45" s="41">
        <v>12.92</v>
      </c>
      <c r="AV45" s="41">
        <v>9.61</v>
      </c>
      <c r="AW45" s="38" t="s">
        <v>173</v>
      </c>
      <c r="AX45" s="38" t="s">
        <v>173</v>
      </c>
      <c r="AY45" s="41">
        <v>31.29</v>
      </c>
      <c r="AZ45" s="41">
        <v>20.55</v>
      </c>
      <c r="BA45" s="41">
        <v>20.34</v>
      </c>
      <c r="BB45" s="38" t="s">
        <v>173</v>
      </c>
      <c r="BC45" s="38" t="s">
        <v>173</v>
      </c>
      <c r="BD45" s="84"/>
      <c r="BE45" s="84"/>
      <c r="BF45" s="38" t="s">
        <v>173</v>
      </c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</row>
    <row r="46" spans="1:137" x14ac:dyDescent="0.25">
      <c r="A46" s="4">
        <v>2052</v>
      </c>
      <c r="B46" s="41">
        <v>0.08</v>
      </c>
      <c r="C46" s="41">
        <v>0.06</v>
      </c>
      <c r="D46" s="41">
        <v>0.08</v>
      </c>
      <c r="E46" s="41">
        <v>0.06</v>
      </c>
      <c r="F46" s="41">
        <v>0.05</v>
      </c>
      <c r="G46" s="40" t="s">
        <v>173</v>
      </c>
      <c r="H46" s="41">
        <v>81.709999999999994</v>
      </c>
      <c r="I46" s="38">
        <v>0</v>
      </c>
      <c r="J46" s="41">
        <v>17.100000000000001</v>
      </c>
      <c r="K46" s="38">
        <v>0</v>
      </c>
      <c r="L46" s="3"/>
      <c r="M46" s="3"/>
      <c r="N46" s="41">
        <v>4.68</v>
      </c>
      <c r="O46" s="41">
        <v>31.29</v>
      </c>
      <c r="P46" s="41">
        <v>20.55</v>
      </c>
      <c r="Q46" s="41">
        <v>20.34</v>
      </c>
      <c r="R46" s="41">
        <v>33.229999999999997</v>
      </c>
      <c r="S46" s="41">
        <v>29.95</v>
      </c>
      <c r="T46" s="41">
        <v>33.93</v>
      </c>
      <c r="U46" s="41">
        <v>33.130000000000003</v>
      </c>
      <c r="V46" s="41">
        <v>23.79</v>
      </c>
      <c r="W46" s="38" t="s">
        <v>173</v>
      </c>
      <c r="X46" s="38" t="s">
        <v>173</v>
      </c>
      <c r="Y46" s="38" t="s">
        <v>173</v>
      </c>
      <c r="Z46" s="38" t="s">
        <v>173</v>
      </c>
      <c r="AA46" s="38" t="s">
        <v>173</v>
      </c>
      <c r="AB46" s="38" t="s">
        <v>173</v>
      </c>
      <c r="AC46" s="38" t="s">
        <v>173</v>
      </c>
      <c r="AD46" s="3"/>
      <c r="AE46" s="41">
        <v>1.7000000000000001E-2</v>
      </c>
      <c r="AF46" s="38" t="s">
        <v>173</v>
      </c>
      <c r="AG46" s="3"/>
      <c r="AH46" s="38" t="s">
        <v>173</v>
      </c>
      <c r="AI46" s="38" t="s">
        <v>173</v>
      </c>
      <c r="AJ46" s="38" t="s">
        <v>173</v>
      </c>
      <c r="AK46" s="38" t="s">
        <v>173</v>
      </c>
      <c r="AL46" s="38" t="s">
        <v>173</v>
      </c>
      <c r="AM46" s="38" t="s">
        <v>173</v>
      </c>
      <c r="AN46" s="3"/>
      <c r="AO46" s="41">
        <v>0.25</v>
      </c>
      <c r="AP46" s="41">
        <v>0.17</v>
      </c>
      <c r="AQ46" s="41">
        <v>0.09</v>
      </c>
      <c r="AR46" s="38" t="s">
        <v>173</v>
      </c>
      <c r="AS46" s="38" t="s">
        <v>173</v>
      </c>
      <c r="AT46" s="41">
        <v>12.35</v>
      </c>
      <c r="AU46" s="41">
        <v>12.92</v>
      </c>
      <c r="AV46" s="41">
        <v>9.61</v>
      </c>
      <c r="AW46" s="38" t="s">
        <v>173</v>
      </c>
      <c r="AX46" s="38" t="s">
        <v>173</v>
      </c>
      <c r="AY46" s="41">
        <v>31.29</v>
      </c>
      <c r="AZ46" s="41">
        <v>20.55</v>
      </c>
      <c r="BA46" s="41">
        <v>20.34</v>
      </c>
      <c r="BB46" s="38" t="s">
        <v>173</v>
      </c>
      <c r="BC46" s="38" t="s">
        <v>173</v>
      </c>
      <c r="BD46" s="84"/>
      <c r="BE46" s="84"/>
      <c r="BF46" s="38" t="s">
        <v>173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</row>
    <row r="47" spans="1:137" x14ac:dyDescent="0.25">
      <c r="A47" s="4">
        <v>2053</v>
      </c>
      <c r="B47" s="41">
        <v>0.08</v>
      </c>
      <c r="C47" s="41">
        <v>0.06</v>
      </c>
      <c r="D47" s="41">
        <v>0.08</v>
      </c>
      <c r="E47" s="41">
        <v>0.06</v>
      </c>
      <c r="F47" s="41">
        <v>0.05</v>
      </c>
      <c r="G47" s="40" t="s">
        <v>173</v>
      </c>
      <c r="H47" s="41">
        <v>81.709999999999994</v>
      </c>
      <c r="I47" s="38">
        <v>0</v>
      </c>
      <c r="J47" s="41">
        <v>17.100000000000001</v>
      </c>
      <c r="K47" s="38">
        <v>0</v>
      </c>
      <c r="L47" s="3"/>
      <c r="M47" s="3"/>
      <c r="N47" s="41">
        <v>4.68</v>
      </c>
      <c r="O47" s="41">
        <v>31.29</v>
      </c>
      <c r="P47" s="41">
        <v>20.55</v>
      </c>
      <c r="Q47" s="41">
        <v>20.34</v>
      </c>
      <c r="R47" s="41">
        <v>33.229999999999997</v>
      </c>
      <c r="S47" s="41">
        <v>29.95</v>
      </c>
      <c r="T47" s="41">
        <v>33.93</v>
      </c>
      <c r="U47" s="41">
        <v>33.130000000000003</v>
      </c>
      <c r="V47" s="41">
        <v>23.79</v>
      </c>
      <c r="W47" s="38" t="s">
        <v>173</v>
      </c>
      <c r="X47" s="38" t="s">
        <v>173</v>
      </c>
      <c r="Y47" s="38" t="s">
        <v>173</v>
      </c>
      <c r="Z47" s="38" t="s">
        <v>173</v>
      </c>
      <c r="AA47" s="38" t="s">
        <v>173</v>
      </c>
      <c r="AB47" s="38" t="s">
        <v>173</v>
      </c>
      <c r="AC47" s="38" t="s">
        <v>173</v>
      </c>
      <c r="AD47" s="3"/>
      <c r="AE47" s="41">
        <v>1.7000000000000001E-2</v>
      </c>
      <c r="AF47" s="38" t="s">
        <v>173</v>
      </c>
      <c r="AG47" s="3"/>
      <c r="AH47" s="38" t="s">
        <v>173</v>
      </c>
      <c r="AI47" s="38" t="s">
        <v>173</v>
      </c>
      <c r="AJ47" s="38" t="s">
        <v>173</v>
      </c>
      <c r="AK47" s="38" t="s">
        <v>173</v>
      </c>
      <c r="AL47" s="38" t="s">
        <v>173</v>
      </c>
      <c r="AM47" s="38" t="s">
        <v>173</v>
      </c>
      <c r="AN47" s="3"/>
      <c r="AO47" s="41">
        <v>0.25</v>
      </c>
      <c r="AP47" s="41">
        <v>0.17</v>
      </c>
      <c r="AQ47" s="41">
        <v>0.09</v>
      </c>
      <c r="AR47" s="38" t="s">
        <v>173</v>
      </c>
      <c r="AS47" s="38" t="s">
        <v>173</v>
      </c>
      <c r="AT47" s="41">
        <v>12.35</v>
      </c>
      <c r="AU47" s="41">
        <v>12.92</v>
      </c>
      <c r="AV47" s="41">
        <v>9.61</v>
      </c>
      <c r="AW47" s="38" t="s">
        <v>173</v>
      </c>
      <c r="AX47" s="38" t="s">
        <v>173</v>
      </c>
      <c r="AY47" s="41">
        <v>31.29</v>
      </c>
      <c r="AZ47" s="41">
        <v>20.55</v>
      </c>
      <c r="BA47" s="41">
        <v>20.34</v>
      </c>
      <c r="BB47" s="38" t="s">
        <v>173</v>
      </c>
      <c r="BC47" s="38" t="s">
        <v>173</v>
      </c>
      <c r="BD47" s="84"/>
      <c r="BE47" s="84"/>
      <c r="BF47" s="38" t="s">
        <v>173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</row>
    <row r="48" spans="1:137" x14ac:dyDescent="0.25">
      <c r="A48" s="4">
        <v>2054</v>
      </c>
      <c r="B48" s="41">
        <v>0.08</v>
      </c>
      <c r="C48" s="41">
        <v>0.06</v>
      </c>
      <c r="D48" s="41">
        <v>0.08</v>
      </c>
      <c r="E48" s="41">
        <v>0.06</v>
      </c>
      <c r="F48" s="41">
        <v>0.05</v>
      </c>
      <c r="G48" s="40" t="s">
        <v>173</v>
      </c>
      <c r="H48" s="41">
        <v>81.709999999999994</v>
      </c>
      <c r="I48" s="38">
        <v>0</v>
      </c>
      <c r="J48" s="41">
        <v>17.100000000000001</v>
      </c>
      <c r="K48" s="38">
        <v>0</v>
      </c>
      <c r="L48" s="3"/>
      <c r="M48" s="3"/>
      <c r="N48" s="41">
        <v>4.68</v>
      </c>
      <c r="O48" s="41">
        <v>31.29</v>
      </c>
      <c r="P48" s="41">
        <v>20.55</v>
      </c>
      <c r="Q48" s="41">
        <v>20.34</v>
      </c>
      <c r="R48" s="41">
        <v>33.229999999999997</v>
      </c>
      <c r="S48" s="41">
        <v>29.95</v>
      </c>
      <c r="T48" s="41">
        <v>33.93</v>
      </c>
      <c r="U48" s="41">
        <v>33.130000000000003</v>
      </c>
      <c r="V48" s="41">
        <v>23.79</v>
      </c>
      <c r="W48" s="38" t="s">
        <v>173</v>
      </c>
      <c r="X48" s="38" t="s">
        <v>173</v>
      </c>
      <c r="Y48" s="38" t="s">
        <v>173</v>
      </c>
      <c r="Z48" s="38" t="s">
        <v>173</v>
      </c>
      <c r="AA48" s="38" t="s">
        <v>173</v>
      </c>
      <c r="AB48" s="38" t="s">
        <v>173</v>
      </c>
      <c r="AC48" s="38" t="s">
        <v>173</v>
      </c>
      <c r="AD48" s="3"/>
      <c r="AE48" s="41">
        <v>1.7000000000000001E-2</v>
      </c>
      <c r="AF48" s="38" t="s">
        <v>173</v>
      </c>
      <c r="AG48" s="3"/>
      <c r="AH48" s="38" t="s">
        <v>173</v>
      </c>
      <c r="AI48" s="38" t="s">
        <v>173</v>
      </c>
      <c r="AJ48" s="38" t="s">
        <v>173</v>
      </c>
      <c r="AK48" s="38" t="s">
        <v>173</v>
      </c>
      <c r="AL48" s="38" t="s">
        <v>173</v>
      </c>
      <c r="AM48" s="38" t="s">
        <v>173</v>
      </c>
      <c r="AN48" s="3"/>
      <c r="AO48" s="41">
        <v>0.25</v>
      </c>
      <c r="AP48" s="41">
        <v>0.17</v>
      </c>
      <c r="AQ48" s="41">
        <v>0.09</v>
      </c>
      <c r="AR48" s="38" t="s">
        <v>173</v>
      </c>
      <c r="AS48" s="38" t="s">
        <v>173</v>
      </c>
      <c r="AT48" s="41">
        <v>12.35</v>
      </c>
      <c r="AU48" s="41">
        <v>12.92</v>
      </c>
      <c r="AV48" s="41">
        <v>9.61</v>
      </c>
      <c r="AW48" s="38" t="s">
        <v>173</v>
      </c>
      <c r="AX48" s="38" t="s">
        <v>173</v>
      </c>
      <c r="AY48" s="41">
        <v>31.29</v>
      </c>
      <c r="AZ48" s="41">
        <v>20.55</v>
      </c>
      <c r="BA48" s="41">
        <v>20.34</v>
      </c>
      <c r="BB48" s="38" t="s">
        <v>173</v>
      </c>
      <c r="BC48" s="38" t="s">
        <v>173</v>
      </c>
      <c r="BD48" s="84"/>
      <c r="BE48" s="84"/>
      <c r="BF48" s="38" t="s">
        <v>173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</row>
    <row r="49" spans="1:137" x14ac:dyDescent="0.25">
      <c r="A49" s="4">
        <v>2055</v>
      </c>
      <c r="B49" s="41">
        <v>0.08</v>
      </c>
      <c r="C49" s="41">
        <v>0.06</v>
      </c>
      <c r="D49" s="41">
        <v>0.08</v>
      </c>
      <c r="E49" s="41">
        <v>0.06</v>
      </c>
      <c r="F49" s="41">
        <v>0.05</v>
      </c>
      <c r="G49" s="40" t="s">
        <v>173</v>
      </c>
      <c r="H49" s="41">
        <v>81.709999999999994</v>
      </c>
      <c r="I49" s="38">
        <v>0</v>
      </c>
      <c r="J49" s="41">
        <v>17.100000000000001</v>
      </c>
      <c r="K49" s="38">
        <v>0</v>
      </c>
      <c r="L49" s="3"/>
      <c r="M49" s="3"/>
      <c r="N49" s="41">
        <v>4.68</v>
      </c>
      <c r="O49" s="41">
        <v>31.29</v>
      </c>
      <c r="P49" s="41">
        <v>20.55</v>
      </c>
      <c r="Q49" s="41">
        <v>20.34</v>
      </c>
      <c r="R49" s="41">
        <v>33.229999999999997</v>
      </c>
      <c r="S49" s="41">
        <v>29.95</v>
      </c>
      <c r="T49" s="41">
        <v>33.93</v>
      </c>
      <c r="U49" s="41">
        <v>33.130000000000003</v>
      </c>
      <c r="V49" s="41">
        <v>23.79</v>
      </c>
      <c r="W49" s="38" t="s">
        <v>173</v>
      </c>
      <c r="X49" s="38" t="s">
        <v>173</v>
      </c>
      <c r="Y49" s="38" t="s">
        <v>173</v>
      </c>
      <c r="Z49" s="38" t="s">
        <v>173</v>
      </c>
      <c r="AA49" s="38" t="s">
        <v>173</v>
      </c>
      <c r="AB49" s="38" t="s">
        <v>173</v>
      </c>
      <c r="AC49" s="38" t="s">
        <v>173</v>
      </c>
      <c r="AD49" s="3"/>
      <c r="AE49" s="41">
        <v>1.7000000000000001E-2</v>
      </c>
      <c r="AF49" s="38" t="s">
        <v>173</v>
      </c>
      <c r="AG49" s="3"/>
      <c r="AH49" s="38" t="s">
        <v>173</v>
      </c>
      <c r="AI49" s="38" t="s">
        <v>173</v>
      </c>
      <c r="AJ49" s="38" t="s">
        <v>173</v>
      </c>
      <c r="AK49" s="38" t="s">
        <v>173</v>
      </c>
      <c r="AL49" s="38" t="s">
        <v>173</v>
      </c>
      <c r="AM49" s="38" t="s">
        <v>173</v>
      </c>
      <c r="AN49" s="3"/>
      <c r="AO49" s="41">
        <v>0.25</v>
      </c>
      <c r="AP49" s="41">
        <v>0.17</v>
      </c>
      <c r="AQ49" s="41">
        <v>0.09</v>
      </c>
      <c r="AR49" s="38" t="s">
        <v>173</v>
      </c>
      <c r="AS49" s="38" t="s">
        <v>173</v>
      </c>
      <c r="AT49" s="41">
        <v>12.35</v>
      </c>
      <c r="AU49" s="41">
        <v>12.92</v>
      </c>
      <c r="AV49" s="41">
        <v>9.61</v>
      </c>
      <c r="AW49" s="38" t="s">
        <v>173</v>
      </c>
      <c r="AX49" s="38" t="s">
        <v>173</v>
      </c>
      <c r="AY49" s="41">
        <v>31.29</v>
      </c>
      <c r="AZ49" s="41">
        <v>20.55</v>
      </c>
      <c r="BA49" s="41">
        <v>20.34</v>
      </c>
      <c r="BB49" s="38" t="s">
        <v>173</v>
      </c>
      <c r="BC49" s="38" t="s">
        <v>173</v>
      </c>
      <c r="BD49" s="84"/>
      <c r="BE49" s="84"/>
      <c r="BF49" s="38" t="s">
        <v>173</v>
      </c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</row>
    <row r="50" spans="1:137" x14ac:dyDescent="0.25">
      <c r="A50" s="4">
        <v>2056</v>
      </c>
      <c r="B50" s="41">
        <v>0.08</v>
      </c>
      <c r="C50" s="41">
        <v>0.06</v>
      </c>
      <c r="D50" s="41">
        <v>0.08</v>
      </c>
      <c r="E50" s="41">
        <v>0.06</v>
      </c>
      <c r="F50" s="41">
        <v>0.05</v>
      </c>
      <c r="G50" s="40" t="s">
        <v>173</v>
      </c>
      <c r="H50" s="41">
        <v>81.709999999999994</v>
      </c>
      <c r="I50" s="38">
        <v>0</v>
      </c>
      <c r="J50" s="41">
        <v>17.100000000000001</v>
      </c>
      <c r="K50" s="38">
        <v>0</v>
      </c>
      <c r="L50" s="3"/>
      <c r="M50" s="3"/>
      <c r="N50" s="41">
        <v>4.68</v>
      </c>
      <c r="O50" s="41">
        <v>31.29</v>
      </c>
      <c r="P50" s="41">
        <v>20.55</v>
      </c>
      <c r="Q50" s="41">
        <v>20.34</v>
      </c>
      <c r="R50" s="41">
        <v>33.229999999999997</v>
      </c>
      <c r="S50" s="41">
        <v>29.95</v>
      </c>
      <c r="T50" s="41">
        <v>33.93</v>
      </c>
      <c r="U50" s="41">
        <v>33.130000000000003</v>
      </c>
      <c r="V50" s="41">
        <v>23.79</v>
      </c>
      <c r="W50" s="38" t="s">
        <v>173</v>
      </c>
      <c r="X50" s="38" t="s">
        <v>173</v>
      </c>
      <c r="Y50" s="38" t="s">
        <v>173</v>
      </c>
      <c r="Z50" s="38" t="s">
        <v>173</v>
      </c>
      <c r="AA50" s="38" t="s">
        <v>173</v>
      </c>
      <c r="AB50" s="38" t="s">
        <v>173</v>
      </c>
      <c r="AC50" s="38" t="s">
        <v>173</v>
      </c>
      <c r="AD50" s="3"/>
      <c r="AE50" s="41">
        <v>1.7000000000000001E-2</v>
      </c>
      <c r="AF50" s="38" t="s">
        <v>173</v>
      </c>
      <c r="AG50" s="3"/>
      <c r="AH50" s="38" t="s">
        <v>173</v>
      </c>
      <c r="AI50" s="38" t="s">
        <v>173</v>
      </c>
      <c r="AJ50" s="38" t="s">
        <v>173</v>
      </c>
      <c r="AK50" s="38" t="s">
        <v>173</v>
      </c>
      <c r="AL50" s="38" t="s">
        <v>173</v>
      </c>
      <c r="AM50" s="38" t="s">
        <v>173</v>
      </c>
      <c r="AN50" s="3"/>
      <c r="AO50" s="41">
        <v>0.25</v>
      </c>
      <c r="AP50" s="41">
        <v>0.17</v>
      </c>
      <c r="AQ50" s="41">
        <v>0.09</v>
      </c>
      <c r="AR50" s="38" t="s">
        <v>173</v>
      </c>
      <c r="AS50" s="38" t="s">
        <v>173</v>
      </c>
      <c r="AT50" s="41">
        <v>12.35</v>
      </c>
      <c r="AU50" s="41">
        <v>12.92</v>
      </c>
      <c r="AV50" s="41">
        <v>9.61</v>
      </c>
      <c r="AW50" s="38" t="s">
        <v>173</v>
      </c>
      <c r="AX50" s="38" t="s">
        <v>173</v>
      </c>
      <c r="AY50" s="41">
        <v>31.29</v>
      </c>
      <c r="AZ50" s="41">
        <v>20.55</v>
      </c>
      <c r="BA50" s="41">
        <v>20.34</v>
      </c>
      <c r="BB50" s="38" t="s">
        <v>173</v>
      </c>
      <c r="BC50" s="38" t="s">
        <v>173</v>
      </c>
      <c r="BD50" s="84"/>
      <c r="BE50" s="84"/>
      <c r="BF50" s="38" t="s">
        <v>173</v>
      </c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</row>
    <row r="51" spans="1:137" x14ac:dyDescent="0.25">
      <c r="A51" s="4">
        <v>2057</v>
      </c>
      <c r="B51" s="41">
        <v>0.08</v>
      </c>
      <c r="C51" s="41">
        <v>0.06</v>
      </c>
      <c r="D51" s="41">
        <v>0.08</v>
      </c>
      <c r="E51" s="41">
        <v>0.06</v>
      </c>
      <c r="F51" s="41">
        <v>0.05</v>
      </c>
      <c r="G51" s="40" t="s">
        <v>173</v>
      </c>
      <c r="H51" s="41">
        <v>81.709999999999994</v>
      </c>
      <c r="I51" s="38">
        <v>0</v>
      </c>
      <c r="J51" s="41">
        <v>17.100000000000001</v>
      </c>
      <c r="K51" s="38">
        <v>0</v>
      </c>
      <c r="L51" s="3"/>
      <c r="M51" s="3"/>
      <c r="N51" s="41">
        <v>4.68</v>
      </c>
      <c r="O51" s="41">
        <v>31.29</v>
      </c>
      <c r="P51" s="41">
        <v>20.55</v>
      </c>
      <c r="Q51" s="41">
        <v>20.34</v>
      </c>
      <c r="R51" s="41">
        <v>33.229999999999997</v>
      </c>
      <c r="S51" s="41">
        <v>29.95</v>
      </c>
      <c r="T51" s="41">
        <v>33.93</v>
      </c>
      <c r="U51" s="41">
        <v>33.130000000000003</v>
      </c>
      <c r="V51" s="41">
        <v>23.79</v>
      </c>
      <c r="W51" s="38" t="s">
        <v>173</v>
      </c>
      <c r="X51" s="38" t="s">
        <v>173</v>
      </c>
      <c r="Y51" s="38" t="s">
        <v>173</v>
      </c>
      <c r="Z51" s="38" t="s">
        <v>173</v>
      </c>
      <c r="AA51" s="38" t="s">
        <v>173</v>
      </c>
      <c r="AB51" s="38" t="s">
        <v>173</v>
      </c>
      <c r="AC51" s="38" t="s">
        <v>173</v>
      </c>
      <c r="AD51" s="3"/>
      <c r="AE51" s="41">
        <v>1.7000000000000001E-2</v>
      </c>
      <c r="AF51" s="38" t="s">
        <v>173</v>
      </c>
      <c r="AG51" s="3"/>
      <c r="AH51" s="38" t="s">
        <v>173</v>
      </c>
      <c r="AI51" s="38" t="s">
        <v>173</v>
      </c>
      <c r="AJ51" s="38" t="s">
        <v>173</v>
      </c>
      <c r="AK51" s="38" t="s">
        <v>173</v>
      </c>
      <c r="AL51" s="38" t="s">
        <v>173</v>
      </c>
      <c r="AM51" s="38" t="s">
        <v>173</v>
      </c>
      <c r="AN51" s="3"/>
      <c r="AO51" s="41">
        <v>0.25</v>
      </c>
      <c r="AP51" s="41">
        <v>0.17</v>
      </c>
      <c r="AQ51" s="41">
        <v>0.09</v>
      </c>
      <c r="AR51" s="38" t="s">
        <v>173</v>
      </c>
      <c r="AS51" s="38" t="s">
        <v>173</v>
      </c>
      <c r="AT51" s="41">
        <v>12.35</v>
      </c>
      <c r="AU51" s="41">
        <v>12.92</v>
      </c>
      <c r="AV51" s="41">
        <v>9.61</v>
      </c>
      <c r="AW51" s="38" t="s">
        <v>173</v>
      </c>
      <c r="AX51" s="38" t="s">
        <v>173</v>
      </c>
      <c r="AY51" s="41">
        <v>31.29</v>
      </c>
      <c r="AZ51" s="41">
        <v>20.55</v>
      </c>
      <c r="BA51" s="41">
        <v>20.34</v>
      </c>
      <c r="BB51" s="38" t="s">
        <v>173</v>
      </c>
      <c r="BC51" s="38" t="s">
        <v>173</v>
      </c>
      <c r="BD51" s="84"/>
      <c r="BE51" s="84"/>
      <c r="BF51" s="38" t="s">
        <v>173</v>
      </c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</row>
    <row r="52" spans="1:137" x14ac:dyDescent="0.25">
      <c r="A52" s="4">
        <v>2058</v>
      </c>
      <c r="B52" s="41">
        <v>0.08</v>
      </c>
      <c r="C52" s="41">
        <v>0.06</v>
      </c>
      <c r="D52" s="41">
        <v>0.08</v>
      </c>
      <c r="E52" s="41">
        <v>0.06</v>
      </c>
      <c r="F52" s="41">
        <v>0.05</v>
      </c>
      <c r="G52" s="40" t="s">
        <v>173</v>
      </c>
      <c r="H52" s="41">
        <v>81.709999999999994</v>
      </c>
      <c r="I52" s="38">
        <v>0</v>
      </c>
      <c r="J52" s="41">
        <v>17.100000000000001</v>
      </c>
      <c r="K52" s="38">
        <v>0</v>
      </c>
      <c r="L52" s="3"/>
      <c r="M52" s="3"/>
      <c r="N52" s="41">
        <v>4.68</v>
      </c>
      <c r="O52" s="41">
        <v>31.29</v>
      </c>
      <c r="P52" s="41">
        <v>20.55</v>
      </c>
      <c r="Q52" s="41">
        <v>20.34</v>
      </c>
      <c r="R52" s="41">
        <v>33.229999999999997</v>
      </c>
      <c r="S52" s="41">
        <v>29.95</v>
      </c>
      <c r="T52" s="41">
        <v>33.93</v>
      </c>
      <c r="U52" s="41">
        <v>33.130000000000003</v>
      </c>
      <c r="V52" s="41">
        <v>23.79</v>
      </c>
      <c r="W52" s="38" t="s">
        <v>173</v>
      </c>
      <c r="X52" s="38" t="s">
        <v>173</v>
      </c>
      <c r="Y52" s="38" t="s">
        <v>173</v>
      </c>
      <c r="Z52" s="38" t="s">
        <v>173</v>
      </c>
      <c r="AA52" s="38" t="s">
        <v>173</v>
      </c>
      <c r="AB52" s="38" t="s">
        <v>173</v>
      </c>
      <c r="AC52" s="38" t="s">
        <v>173</v>
      </c>
      <c r="AD52" s="3"/>
      <c r="AE52" s="41">
        <v>1.7000000000000001E-2</v>
      </c>
      <c r="AF52" s="38" t="s">
        <v>173</v>
      </c>
      <c r="AG52" s="3"/>
      <c r="AH52" s="38" t="s">
        <v>173</v>
      </c>
      <c r="AI52" s="38" t="s">
        <v>173</v>
      </c>
      <c r="AJ52" s="38" t="s">
        <v>173</v>
      </c>
      <c r="AK52" s="38" t="s">
        <v>173</v>
      </c>
      <c r="AL52" s="38" t="s">
        <v>173</v>
      </c>
      <c r="AM52" s="38" t="s">
        <v>173</v>
      </c>
      <c r="AN52" s="3"/>
      <c r="AO52" s="41">
        <v>0.25</v>
      </c>
      <c r="AP52" s="41">
        <v>0.17</v>
      </c>
      <c r="AQ52" s="41">
        <v>0.09</v>
      </c>
      <c r="AR52" s="38" t="s">
        <v>173</v>
      </c>
      <c r="AS52" s="38" t="s">
        <v>173</v>
      </c>
      <c r="AT52" s="41">
        <v>12.35</v>
      </c>
      <c r="AU52" s="41">
        <v>12.92</v>
      </c>
      <c r="AV52" s="41">
        <v>9.61</v>
      </c>
      <c r="AW52" s="38" t="s">
        <v>173</v>
      </c>
      <c r="AX52" s="38" t="s">
        <v>173</v>
      </c>
      <c r="AY52" s="41">
        <v>31.29</v>
      </c>
      <c r="AZ52" s="41">
        <v>20.55</v>
      </c>
      <c r="BA52" s="41">
        <v>20.34</v>
      </c>
      <c r="BB52" s="38" t="s">
        <v>173</v>
      </c>
      <c r="BC52" s="38" t="s">
        <v>173</v>
      </c>
      <c r="BD52" s="84"/>
      <c r="BE52" s="84"/>
      <c r="BF52" s="38" t="s">
        <v>173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</row>
    <row r="53" spans="1:137" x14ac:dyDescent="0.25">
      <c r="A53" s="4">
        <v>2059</v>
      </c>
      <c r="B53" s="41">
        <v>0.08</v>
      </c>
      <c r="C53" s="41">
        <v>0.06</v>
      </c>
      <c r="D53" s="41">
        <v>0.08</v>
      </c>
      <c r="E53" s="41">
        <v>0.06</v>
      </c>
      <c r="F53" s="41">
        <v>0.05</v>
      </c>
      <c r="G53" s="40" t="s">
        <v>173</v>
      </c>
      <c r="H53" s="41">
        <v>81.709999999999994</v>
      </c>
      <c r="I53" s="38">
        <v>0</v>
      </c>
      <c r="J53" s="41">
        <v>17.100000000000001</v>
      </c>
      <c r="K53" s="38">
        <v>0</v>
      </c>
      <c r="L53" s="3"/>
      <c r="M53" s="3"/>
      <c r="N53" s="41">
        <v>4.68</v>
      </c>
      <c r="O53" s="41">
        <v>31.29</v>
      </c>
      <c r="P53" s="41">
        <v>20.55</v>
      </c>
      <c r="Q53" s="41">
        <v>20.34</v>
      </c>
      <c r="R53" s="41">
        <v>33.229999999999997</v>
      </c>
      <c r="S53" s="41">
        <v>29.95</v>
      </c>
      <c r="T53" s="41">
        <v>33.93</v>
      </c>
      <c r="U53" s="41">
        <v>33.130000000000003</v>
      </c>
      <c r="V53" s="41">
        <v>23.79</v>
      </c>
      <c r="W53" s="38" t="s">
        <v>173</v>
      </c>
      <c r="X53" s="38" t="s">
        <v>173</v>
      </c>
      <c r="Y53" s="38" t="s">
        <v>173</v>
      </c>
      <c r="Z53" s="38" t="s">
        <v>173</v>
      </c>
      <c r="AA53" s="38" t="s">
        <v>173</v>
      </c>
      <c r="AB53" s="38" t="s">
        <v>173</v>
      </c>
      <c r="AC53" s="38" t="s">
        <v>173</v>
      </c>
      <c r="AD53" s="3"/>
      <c r="AE53" s="41">
        <v>1.7000000000000001E-2</v>
      </c>
      <c r="AF53" s="38" t="s">
        <v>173</v>
      </c>
      <c r="AG53" s="3"/>
      <c r="AH53" s="38" t="s">
        <v>173</v>
      </c>
      <c r="AI53" s="38" t="s">
        <v>173</v>
      </c>
      <c r="AJ53" s="38" t="s">
        <v>173</v>
      </c>
      <c r="AK53" s="38" t="s">
        <v>173</v>
      </c>
      <c r="AL53" s="38" t="s">
        <v>173</v>
      </c>
      <c r="AM53" s="38" t="s">
        <v>173</v>
      </c>
      <c r="AN53" s="3"/>
      <c r="AO53" s="41">
        <v>0.25</v>
      </c>
      <c r="AP53" s="41">
        <v>0.17</v>
      </c>
      <c r="AQ53" s="41">
        <v>0.09</v>
      </c>
      <c r="AR53" s="38" t="s">
        <v>173</v>
      </c>
      <c r="AS53" s="38" t="s">
        <v>173</v>
      </c>
      <c r="AT53" s="41">
        <v>12.35</v>
      </c>
      <c r="AU53" s="41">
        <v>12.92</v>
      </c>
      <c r="AV53" s="41">
        <v>9.61</v>
      </c>
      <c r="AW53" s="38" t="s">
        <v>173</v>
      </c>
      <c r="AX53" s="38" t="s">
        <v>173</v>
      </c>
      <c r="AY53" s="41">
        <v>31.29</v>
      </c>
      <c r="AZ53" s="41">
        <v>20.55</v>
      </c>
      <c r="BA53" s="41">
        <v>20.34</v>
      </c>
      <c r="BB53" s="38" t="s">
        <v>173</v>
      </c>
      <c r="BC53" s="38" t="s">
        <v>173</v>
      </c>
      <c r="BD53" s="84"/>
      <c r="BE53" s="84"/>
      <c r="BF53" s="38" t="s">
        <v>173</v>
      </c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</row>
    <row r="54" spans="1:137" x14ac:dyDescent="0.25">
      <c r="A54" s="4">
        <v>2060</v>
      </c>
      <c r="B54" s="41">
        <v>0.08</v>
      </c>
      <c r="C54" s="41">
        <v>0.06</v>
      </c>
      <c r="D54" s="41">
        <v>0.08</v>
      </c>
      <c r="E54" s="41">
        <v>0.06</v>
      </c>
      <c r="F54" s="41">
        <v>0.05</v>
      </c>
      <c r="G54" s="40" t="s">
        <v>173</v>
      </c>
      <c r="H54" s="41">
        <v>81.709999999999994</v>
      </c>
      <c r="I54" s="38">
        <v>0</v>
      </c>
      <c r="J54" s="41">
        <v>17.100000000000001</v>
      </c>
      <c r="K54" s="38">
        <v>0</v>
      </c>
      <c r="L54" s="3"/>
      <c r="M54" s="3"/>
      <c r="N54" s="41">
        <v>4.68</v>
      </c>
      <c r="O54" s="41">
        <v>31.29</v>
      </c>
      <c r="P54" s="41">
        <v>20.55</v>
      </c>
      <c r="Q54" s="41">
        <v>20.34</v>
      </c>
      <c r="R54" s="41">
        <v>33.229999999999997</v>
      </c>
      <c r="S54" s="41">
        <v>29.95</v>
      </c>
      <c r="T54" s="41">
        <v>33.93</v>
      </c>
      <c r="U54" s="41">
        <v>33.130000000000003</v>
      </c>
      <c r="V54" s="41">
        <v>23.79</v>
      </c>
      <c r="W54" s="38" t="s">
        <v>173</v>
      </c>
      <c r="X54" s="38" t="s">
        <v>173</v>
      </c>
      <c r="Y54" s="38" t="s">
        <v>173</v>
      </c>
      <c r="Z54" s="38" t="s">
        <v>173</v>
      </c>
      <c r="AA54" s="38" t="s">
        <v>173</v>
      </c>
      <c r="AB54" s="38" t="s">
        <v>173</v>
      </c>
      <c r="AC54" s="38" t="s">
        <v>173</v>
      </c>
      <c r="AD54" s="3"/>
      <c r="AE54" s="41">
        <v>1.7000000000000001E-2</v>
      </c>
      <c r="AF54" s="38" t="s">
        <v>173</v>
      </c>
      <c r="AG54" s="3"/>
      <c r="AH54" s="38" t="s">
        <v>173</v>
      </c>
      <c r="AI54" s="38" t="s">
        <v>173</v>
      </c>
      <c r="AJ54" s="38" t="s">
        <v>173</v>
      </c>
      <c r="AK54" s="38" t="s">
        <v>173</v>
      </c>
      <c r="AL54" s="38" t="s">
        <v>173</v>
      </c>
      <c r="AM54" s="38" t="s">
        <v>173</v>
      </c>
      <c r="AN54" s="3"/>
      <c r="AO54" s="41">
        <v>0.25</v>
      </c>
      <c r="AP54" s="41">
        <v>0.17</v>
      </c>
      <c r="AQ54" s="41">
        <v>0.09</v>
      </c>
      <c r="AR54" s="38" t="s">
        <v>173</v>
      </c>
      <c r="AS54" s="38" t="s">
        <v>173</v>
      </c>
      <c r="AT54" s="41">
        <v>12.35</v>
      </c>
      <c r="AU54" s="41">
        <v>12.92</v>
      </c>
      <c r="AV54" s="41">
        <v>9.61</v>
      </c>
      <c r="AW54" s="38" t="s">
        <v>173</v>
      </c>
      <c r="AX54" s="38" t="s">
        <v>173</v>
      </c>
      <c r="AY54" s="41">
        <v>31.29</v>
      </c>
      <c r="AZ54" s="41">
        <v>20.55</v>
      </c>
      <c r="BA54" s="41">
        <v>20.34</v>
      </c>
      <c r="BB54" s="38" t="s">
        <v>173</v>
      </c>
      <c r="BC54" s="38" t="s">
        <v>173</v>
      </c>
      <c r="BD54" s="84"/>
      <c r="BE54" s="84"/>
      <c r="BF54" s="38" t="s">
        <v>173</v>
      </c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</row>
    <row r="55" spans="1:137" x14ac:dyDescent="0.25">
      <c r="A55" s="4">
        <v>2061</v>
      </c>
      <c r="B55" s="41">
        <v>0.08</v>
      </c>
      <c r="C55" s="41">
        <v>0.06</v>
      </c>
      <c r="D55" s="41">
        <v>0.08</v>
      </c>
      <c r="E55" s="41">
        <v>0.06</v>
      </c>
      <c r="F55" s="41">
        <v>0.05</v>
      </c>
      <c r="G55" s="40" t="s">
        <v>173</v>
      </c>
      <c r="H55" s="41">
        <v>81.709999999999994</v>
      </c>
      <c r="I55" s="38">
        <v>0</v>
      </c>
      <c r="J55" s="41">
        <v>17.100000000000001</v>
      </c>
      <c r="K55" s="38">
        <v>0</v>
      </c>
      <c r="L55" s="3"/>
      <c r="M55" s="3"/>
      <c r="N55" s="41">
        <v>4.68</v>
      </c>
      <c r="O55" s="41">
        <v>31.29</v>
      </c>
      <c r="P55" s="41">
        <v>20.55</v>
      </c>
      <c r="Q55" s="41">
        <v>20.34</v>
      </c>
      <c r="R55" s="41">
        <v>33.229999999999997</v>
      </c>
      <c r="S55" s="41">
        <v>29.95</v>
      </c>
      <c r="T55" s="41">
        <v>33.93</v>
      </c>
      <c r="U55" s="41">
        <v>33.130000000000003</v>
      </c>
      <c r="V55" s="41">
        <v>23.79</v>
      </c>
      <c r="W55" s="38" t="s">
        <v>173</v>
      </c>
      <c r="X55" s="38" t="s">
        <v>173</v>
      </c>
      <c r="Y55" s="38" t="s">
        <v>173</v>
      </c>
      <c r="Z55" s="38" t="s">
        <v>173</v>
      </c>
      <c r="AA55" s="38" t="s">
        <v>173</v>
      </c>
      <c r="AB55" s="38" t="s">
        <v>173</v>
      </c>
      <c r="AC55" s="38" t="s">
        <v>173</v>
      </c>
      <c r="AD55" s="3"/>
      <c r="AE55" s="41">
        <v>1.7000000000000001E-2</v>
      </c>
      <c r="AF55" s="38" t="s">
        <v>173</v>
      </c>
      <c r="AG55" s="3"/>
      <c r="AH55" s="38" t="s">
        <v>173</v>
      </c>
      <c r="AI55" s="38" t="s">
        <v>173</v>
      </c>
      <c r="AJ55" s="38" t="s">
        <v>173</v>
      </c>
      <c r="AK55" s="38" t="s">
        <v>173</v>
      </c>
      <c r="AL55" s="38" t="s">
        <v>173</v>
      </c>
      <c r="AM55" s="38" t="s">
        <v>173</v>
      </c>
      <c r="AN55" s="3"/>
      <c r="AO55" s="41">
        <v>0.25</v>
      </c>
      <c r="AP55" s="41">
        <v>0.17</v>
      </c>
      <c r="AQ55" s="41">
        <v>0.09</v>
      </c>
      <c r="AR55" s="38" t="s">
        <v>173</v>
      </c>
      <c r="AS55" s="38" t="s">
        <v>173</v>
      </c>
      <c r="AT55" s="41">
        <v>12.35</v>
      </c>
      <c r="AU55" s="41">
        <v>12.92</v>
      </c>
      <c r="AV55" s="41">
        <v>9.61</v>
      </c>
      <c r="AW55" s="38" t="s">
        <v>173</v>
      </c>
      <c r="AX55" s="38" t="s">
        <v>173</v>
      </c>
      <c r="AY55" s="41">
        <v>31.29</v>
      </c>
      <c r="AZ55" s="41">
        <v>20.55</v>
      </c>
      <c r="BA55" s="41">
        <v>20.34</v>
      </c>
      <c r="BB55" s="38" t="s">
        <v>173</v>
      </c>
      <c r="BC55" s="38" t="s">
        <v>173</v>
      </c>
      <c r="BD55" s="84"/>
      <c r="BE55" s="84"/>
      <c r="BF55" s="38" t="s">
        <v>173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</row>
    <row r="56" spans="1:137" x14ac:dyDescent="0.25">
      <c r="A56" s="4">
        <v>2062</v>
      </c>
      <c r="B56" s="41">
        <v>0.08</v>
      </c>
      <c r="C56" s="41">
        <v>0.06</v>
      </c>
      <c r="D56" s="41">
        <v>0.08</v>
      </c>
      <c r="E56" s="41">
        <v>0.06</v>
      </c>
      <c r="F56" s="41">
        <v>0.05</v>
      </c>
      <c r="G56" s="40" t="s">
        <v>173</v>
      </c>
      <c r="H56" s="41">
        <v>81.709999999999994</v>
      </c>
      <c r="I56" s="38">
        <v>0</v>
      </c>
      <c r="J56" s="41">
        <v>17.100000000000001</v>
      </c>
      <c r="K56" s="38">
        <v>0</v>
      </c>
      <c r="L56" s="3"/>
      <c r="M56" s="3"/>
      <c r="N56" s="41">
        <v>4.68</v>
      </c>
      <c r="O56" s="41">
        <v>31.29</v>
      </c>
      <c r="P56" s="41">
        <v>20.55</v>
      </c>
      <c r="Q56" s="41">
        <v>20.34</v>
      </c>
      <c r="R56" s="41">
        <v>33.229999999999997</v>
      </c>
      <c r="S56" s="41">
        <v>29.95</v>
      </c>
      <c r="T56" s="41">
        <v>33.93</v>
      </c>
      <c r="U56" s="41">
        <v>33.130000000000003</v>
      </c>
      <c r="V56" s="41">
        <v>23.79</v>
      </c>
      <c r="W56" s="38" t="s">
        <v>173</v>
      </c>
      <c r="X56" s="38" t="s">
        <v>173</v>
      </c>
      <c r="Y56" s="38" t="s">
        <v>173</v>
      </c>
      <c r="Z56" s="38" t="s">
        <v>173</v>
      </c>
      <c r="AA56" s="38" t="s">
        <v>173</v>
      </c>
      <c r="AB56" s="38" t="s">
        <v>173</v>
      </c>
      <c r="AC56" s="38" t="s">
        <v>173</v>
      </c>
      <c r="AD56" s="3"/>
      <c r="AE56" s="41">
        <v>1.7000000000000001E-2</v>
      </c>
      <c r="AF56" s="38" t="s">
        <v>173</v>
      </c>
      <c r="AG56" s="3"/>
      <c r="AH56" s="38" t="s">
        <v>173</v>
      </c>
      <c r="AI56" s="38" t="s">
        <v>173</v>
      </c>
      <c r="AJ56" s="38" t="s">
        <v>173</v>
      </c>
      <c r="AK56" s="38" t="s">
        <v>173</v>
      </c>
      <c r="AL56" s="38" t="s">
        <v>173</v>
      </c>
      <c r="AM56" s="38" t="s">
        <v>173</v>
      </c>
      <c r="AN56" s="3"/>
      <c r="AO56" s="41">
        <v>0.25</v>
      </c>
      <c r="AP56" s="41">
        <v>0.17</v>
      </c>
      <c r="AQ56" s="41">
        <v>0.09</v>
      </c>
      <c r="AR56" s="38" t="s">
        <v>173</v>
      </c>
      <c r="AS56" s="38" t="s">
        <v>173</v>
      </c>
      <c r="AT56" s="41">
        <v>12.35</v>
      </c>
      <c r="AU56" s="41">
        <v>12.92</v>
      </c>
      <c r="AV56" s="41">
        <v>9.61</v>
      </c>
      <c r="AW56" s="38" t="s">
        <v>173</v>
      </c>
      <c r="AX56" s="38" t="s">
        <v>173</v>
      </c>
      <c r="AY56" s="41">
        <v>31.29</v>
      </c>
      <c r="AZ56" s="41">
        <v>20.55</v>
      </c>
      <c r="BA56" s="41">
        <v>20.34</v>
      </c>
      <c r="BB56" s="38" t="s">
        <v>173</v>
      </c>
      <c r="BC56" s="38" t="s">
        <v>173</v>
      </c>
      <c r="BD56" s="84"/>
      <c r="BE56" s="84"/>
      <c r="BF56" s="38" t="s">
        <v>173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</row>
    <row r="57" spans="1:137" x14ac:dyDescent="0.25">
      <c r="A57" s="4">
        <v>2063</v>
      </c>
      <c r="B57" s="41">
        <v>0.08</v>
      </c>
      <c r="C57" s="41">
        <v>0.06</v>
      </c>
      <c r="D57" s="41">
        <v>0.08</v>
      </c>
      <c r="E57" s="41">
        <v>0.06</v>
      </c>
      <c r="F57" s="41">
        <v>0.05</v>
      </c>
      <c r="G57" s="40" t="s">
        <v>173</v>
      </c>
      <c r="H57" s="41">
        <v>81.709999999999994</v>
      </c>
      <c r="I57" s="38">
        <v>0</v>
      </c>
      <c r="J57" s="41">
        <v>17.100000000000001</v>
      </c>
      <c r="K57" s="38">
        <v>0</v>
      </c>
      <c r="L57" s="3"/>
      <c r="M57" s="3"/>
      <c r="N57" s="41">
        <v>4.68</v>
      </c>
      <c r="O57" s="41">
        <v>31.29</v>
      </c>
      <c r="P57" s="41">
        <v>20.55</v>
      </c>
      <c r="Q57" s="41">
        <v>20.34</v>
      </c>
      <c r="R57" s="41">
        <v>33.229999999999997</v>
      </c>
      <c r="S57" s="41">
        <v>29.95</v>
      </c>
      <c r="T57" s="41">
        <v>33.93</v>
      </c>
      <c r="U57" s="41">
        <v>33.130000000000003</v>
      </c>
      <c r="V57" s="41">
        <v>23.79</v>
      </c>
      <c r="W57" s="38" t="s">
        <v>173</v>
      </c>
      <c r="X57" s="38" t="s">
        <v>173</v>
      </c>
      <c r="Y57" s="38" t="s">
        <v>173</v>
      </c>
      <c r="Z57" s="38" t="s">
        <v>173</v>
      </c>
      <c r="AA57" s="38" t="s">
        <v>173</v>
      </c>
      <c r="AB57" s="38" t="s">
        <v>173</v>
      </c>
      <c r="AC57" s="38" t="s">
        <v>173</v>
      </c>
      <c r="AD57" s="3"/>
      <c r="AE57" s="41">
        <v>1.7000000000000001E-2</v>
      </c>
      <c r="AF57" s="38" t="s">
        <v>173</v>
      </c>
      <c r="AG57" s="3"/>
      <c r="AH57" s="38" t="s">
        <v>173</v>
      </c>
      <c r="AI57" s="38" t="s">
        <v>173</v>
      </c>
      <c r="AJ57" s="38" t="s">
        <v>173</v>
      </c>
      <c r="AK57" s="38" t="s">
        <v>173</v>
      </c>
      <c r="AL57" s="38" t="s">
        <v>173</v>
      </c>
      <c r="AM57" s="38" t="s">
        <v>173</v>
      </c>
      <c r="AN57" s="3"/>
      <c r="AO57" s="41">
        <v>0.25</v>
      </c>
      <c r="AP57" s="41">
        <v>0.17</v>
      </c>
      <c r="AQ57" s="41">
        <v>0.09</v>
      </c>
      <c r="AR57" s="38" t="s">
        <v>173</v>
      </c>
      <c r="AS57" s="38" t="s">
        <v>173</v>
      </c>
      <c r="AT57" s="41">
        <v>12.35</v>
      </c>
      <c r="AU57" s="41">
        <v>12.92</v>
      </c>
      <c r="AV57" s="41">
        <v>9.61</v>
      </c>
      <c r="AW57" s="38" t="s">
        <v>173</v>
      </c>
      <c r="AX57" s="38" t="s">
        <v>173</v>
      </c>
      <c r="AY57" s="41">
        <v>31.29</v>
      </c>
      <c r="AZ57" s="41">
        <v>20.55</v>
      </c>
      <c r="BA57" s="41">
        <v>20.34</v>
      </c>
      <c r="BB57" s="38" t="s">
        <v>173</v>
      </c>
      <c r="BC57" s="38" t="s">
        <v>173</v>
      </c>
      <c r="BD57" s="84"/>
      <c r="BE57" s="84"/>
      <c r="BF57" s="38" t="s">
        <v>173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</row>
    <row r="58" spans="1:137" x14ac:dyDescent="0.25">
      <c r="A58" s="4">
        <v>2064</v>
      </c>
      <c r="B58" s="41">
        <v>0.08</v>
      </c>
      <c r="C58" s="41">
        <v>0.06</v>
      </c>
      <c r="D58" s="41">
        <v>0.08</v>
      </c>
      <c r="E58" s="41">
        <v>0.06</v>
      </c>
      <c r="F58" s="41">
        <v>0.05</v>
      </c>
      <c r="G58" s="40" t="s">
        <v>173</v>
      </c>
      <c r="H58" s="41">
        <v>81.709999999999994</v>
      </c>
      <c r="I58" s="38">
        <v>0</v>
      </c>
      <c r="J58" s="41">
        <v>17.100000000000001</v>
      </c>
      <c r="K58" s="38">
        <v>0</v>
      </c>
      <c r="L58" s="3"/>
      <c r="M58" s="3"/>
      <c r="N58" s="41">
        <v>4.68</v>
      </c>
      <c r="O58" s="41">
        <v>31.29</v>
      </c>
      <c r="P58" s="41">
        <v>20.55</v>
      </c>
      <c r="Q58" s="41">
        <v>20.34</v>
      </c>
      <c r="R58" s="41">
        <v>33.229999999999997</v>
      </c>
      <c r="S58" s="41">
        <v>29.95</v>
      </c>
      <c r="T58" s="41">
        <v>33.93</v>
      </c>
      <c r="U58" s="41">
        <v>33.130000000000003</v>
      </c>
      <c r="V58" s="41">
        <v>23.79</v>
      </c>
      <c r="W58" s="38" t="s">
        <v>173</v>
      </c>
      <c r="X58" s="38" t="s">
        <v>173</v>
      </c>
      <c r="Y58" s="38" t="s">
        <v>173</v>
      </c>
      <c r="Z58" s="38" t="s">
        <v>173</v>
      </c>
      <c r="AA58" s="38" t="s">
        <v>173</v>
      </c>
      <c r="AB58" s="38" t="s">
        <v>173</v>
      </c>
      <c r="AC58" s="38" t="s">
        <v>173</v>
      </c>
      <c r="AD58" s="3"/>
      <c r="AE58" s="41">
        <v>1.7000000000000001E-2</v>
      </c>
      <c r="AF58" s="38" t="s">
        <v>173</v>
      </c>
      <c r="AG58" s="3"/>
      <c r="AH58" s="38" t="s">
        <v>173</v>
      </c>
      <c r="AI58" s="38" t="s">
        <v>173</v>
      </c>
      <c r="AJ58" s="38" t="s">
        <v>173</v>
      </c>
      <c r="AK58" s="38" t="s">
        <v>173</v>
      </c>
      <c r="AL58" s="38" t="s">
        <v>173</v>
      </c>
      <c r="AM58" s="38" t="s">
        <v>173</v>
      </c>
      <c r="AN58" s="3"/>
      <c r="AO58" s="41">
        <v>0.25</v>
      </c>
      <c r="AP58" s="41">
        <v>0.17</v>
      </c>
      <c r="AQ58" s="41">
        <v>0.09</v>
      </c>
      <c r="AR58" s="38" t="s">
        <v>173</v>
      </c>
      <c r="AS58" s="38" t="s">
        <v>173</v>
      </c>
      <c r="AT58" s="41">
        <v>12.35</v>
      </c>
      <c r="AU58" s="41">
        <v>12.92</v>
      </c>
      <c r="AV58" s="41">
        <v>9.61</v>
      </c>
      <c r="AW58" s="38" t="s">
        <v>173</v>
      </c>
      <c r="AX58" s="38" t="s">
        <v>173</v>
      </c>
      <c r="AY58" s="41">
        <v>31.29</v>
      </c>
      <c r="AZ58" s="41">
        <v>20.55</v>
      </c>
      <c r="BA58" s="41">
        <v>20.34</v>
      </c>
      <c r="BB58" s="38" t="s">
        <v>173</v>
      </c>
      <c r="BC58" s="38" t="s">
        <v>173</v>
      </c>
      <c r="BD58" s="84"/>
      <c r="BE58" s="84"/>
      <c r="BF58" s="38" t="s">
        <v>173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</row>
    <row r="59" spans="1:137" x14ac:dyDescent="0.25">
      <c r="A59" s="4">
        <v>2065</v>
      </c>
      <c r="B59" s="41">
        <v>0.08</v>
      </c>
      <c r="C59" s="41">
        <v>0.06</v>
      </c>
      <c r="D59" s="41">
        <v>0.08</v>
      </c>
      <c r="E59" s="41">
        <v>0.06</v>
      </c>
      <c r="F59" s="41">
        <v>0.05</v>
      </c>
      <c r="G59" s="40" t="s">
        <v>173</v>
      </c>
      <c r="H59" s="41">
        <v>81.709999999999994</v>
      </c>
      <c r="I59" s="38">
        <v>0</v>
      </c>
      <c r="J59" s="41">
        <v>17.100000000000001</v>
      </c>
      <c r="K59" s="38">
        <v>0</v>
      </c>
      <c r="L59" s="3"/>
      <c r="M59" s="3"/>
      <c r="N59" s="41">
        <v>4.68</v>
      </c>
      <c r="O59" s="41">
        <v>31.29</v>
      </c>
      <c r="P59" s="41">
        <v>20.55</v>
      </c>
      <c r="Q59" s="41">
        <v>20.34</v>
      </c>
      <c r="R59" s="41">
        <v>33.229999999999997</v>
      </c>
      <c r="S59" s="41">
        <v>29.95</v>
      </c>
      <c r="T59" s="41">
        <v>33.93</v>
      </c>
      <c r="U59" s="41">
        <v>33.130000000000003</v>
      </c>
      <c r="V59" s="41">
        <v>23.79</v>
      </c>
      <c r="W59" s="38" t="s">
        <v>173</v>
      </c>
      <c r="X59" s="38" t="s">
        <v>173</v>
      </c>
      <c r="Y59" s="38" t="s">
        <v>173</v>
      </c>
      <c r="Z59" s="38" t="s">
        <v>173</v>
      </c>
      <c r="AA59" s="38" t="s">
        <v>173</v>
      </c>
      <c r="AB59" s="38" t="s">
        <v>173</v>
      </c>
      <c r="AC59" s="38" t="s">
        <v>173</v>
      </c>
      <c r="AD59" s="3"/>
      <c r="AE59" s="41">
        <v>1.7000000000000001E-2</v>
      </c>
      <c r="AF59" s="38" t="s">
        <v>173</v>
      </c>
      <c r="AG59" s="3"/>
      <c r="AH59" s="38" t="s">
        <v>173</v>
      </c>
      <c r="AI59" s="38" t="s">
        <v>173</v>
      </c>
      <c r="AJ59" s="38" t="s">
        <v>173</v>
      </c>
      <c r="AK59" s="38" t="s">
        <v>173</v>
      </c>
      <c r="AL59" s="38" t="s">
        <v>173</v>
      </c>
      <c r="AM59" s="38" t="s">
        <v>173</v>
      </c>
      <c r="AN59" s="3"/>
      <c r="AO59" s="41">
        <v>0.25</v>
      </c>
      <c r="AP59" s="41">
        <v>0.17</v>
      </c>
      <c r="AQ59" s="41">
        <v>0.09</v>
      </c>
      <c r="AR59" s="38" t="s">
        <v>173</v>
      </c>
      <c r="AS59" s="38" t="s">
        <v>173</v>
      </c>
      <c r="AT59" s="41">
        <v>12.35</v>
      </c>
      <c r="AU59" s="41">
        <v>12.92</v>
      </c>
      <c r="AV59" s="41">
        <v>9.61</v>
      </c>
      <c r="AW59" s="38" t="s">
        <v>173</v>
      </c>
      <c r="AX59" s="38" t="s">
        <v>173</v>
      </c>
      <c r="AY59" s="41">
        <v>31.29</v>
      </c>
      <c r="AZ59" s="41">
        <v>20.55</v>
      </c>
      <c r="BA59" s="41">
        <v>20.34</v>
      </c>
      <c r="BB59" s="38" t="s">
        <v>173</v>
      </c>
      <c r="BC59" s="38" t="s">
        <v>173</v>
      </c>
      <c r="BD59" s="84"/>
      <c r="BE59" s="84"/>
      <c r="BF59" s="38" t="s">
        <v>173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</row>
    <row r="60" spans="1:137" x14ac:dyDescent="0.25">
      <c r="A60" s="4">
        <v>2066</v>
      </c>
      <c r="B60" s="41">
        <v>0.08</v>
      </c>
      <c r="C60" s="41">
        <v>0.06</v>
      </c>
      <c r="D60" s="41">
        <v>0.08</v>
      </c>
      <c r="E60" s="41">
        <v>0.06</v>
      </c>
      <c r="F60" s="41">
        <v>0.05</v>
      </c>
      <c r="G60" s="40" t="s">
        <v>173</v>
      </c>
      <c r="H60" s="41">
        <v>81.709999999999994</v>
      </c>
      <c r="I60" s="38">
        <v>0</v>
      </c>
      <c r="J60" s="41">
        <v>17.100000000000001</v>
      </c>
      <c r="K60" s="38">
        <v>0</v>
      </c>
      <c r="L60" s="3"/>
      <c r="M60" s="3"/>
      <c r="N60" s="41">
        <v>4.68</v>
      </c>
      <c r="O60" s="41">
        <v>31.29</v>
      </c>
      <c r="P60" s="41">
        <v>20.55</v>
      </c>
      <c r="Q60" s="41">
        <v>20.34</v>
      </c>
      <c r="R60" s="41">
        <v>33.229999999999997</v>
      </c>
      <c r="S60" s="41">
        <v>29.95</v>
      </c>
      <c r="T60" s="41">
        <v>33.93</v>
      </c>
      <c r="U60" s="41">
        <v>33.130000000000003</v>
      </c>
      <c r="V60" s="41">
        <v>23.79</v>
      </c>
      <c r="W60" s="38" t="s">
        <v>173</v>
      </c>
      <c r="X60" s="38" t="s">
        <v>173</v>
      </c>
      <c r="Y60" s="38" t="s">
        <v>173</v>
      </c>
      <c r="Z60" s="38" t="s">
        <v>173</v>
      </c>
      <c r="AA60" s="38" t="s">
        <v>173</v>
      </c>
      <c r="AB60" s="38" t="s">
        <v>173</v>
      </c>
      <c r="AC60" s="38" t="s">
        <v>173</v>
      </c>
      <c r="AD60" s="3"/>
      <c r="AE60" s="41">
        <v>1.7000000000000001E-2</v>
      </c>
      <c r="AF60" s="38" t="s">
        <v>173</v>
      </c>
      <c r="AG60" s="3"/>
      <c r="AH60" s="38" t="s">
        <v>173</v>
      </c>
      <c r="AI60" s="38" t="s">
        <v>173</v>
      </c>
      <c r="AJ60" s="38" t="s">
        <v>173</v>
      </c>
      <c r="AK60" s="38" t="s">
        <v>173</v>
      </c>
      <c r="AL60" s="38" t="s">
        <v>173</v>
      </c>
      <c r="AM60" s="38" t="s">
        <v>173</v>
      </c>
      <c r="AN60" s="3"/>
      <c r="AO60" s="41">
        <v>0.25</v>
      </c>
      <c r="AP60" s="41">
        <v>0.17</v>
      </c>
      <c r="AQ60" s="41">
        <v>0.09</v>
      </c>
      <c r="AR60" s="38" t="s">
        <v>173</v>
      </c>
      <c r="AS60" s="38" t="s">
        <v>173</v>
      </c>
      <c r="AT60" s="41">
        <v>12.35</v>
      </c>
      <c r="AU60" s="41">
        <v>12.92</v>
      </c>
      <c r="AV60" s="41">
        <v>9.61</v>
      </c>
      <c r="AW60" s="38" t="s">
        <v>173</v>
      </c>
      <c r="AX60" s="38" t="s">
        <v>173</v>
      </c>
      <c r="AY60" s="41">
        <v>31.29</v>
      </c>
      <c r="AZ60" s="41">
        <v>20.55</v>
      </c>
      <c r="BA60" s="41">
        <v>20.34</v>
      </c>
      <c r="BB60" s="38" t="s">
        <v>173</v>
      </c>
      <c r="BC60" s="38" t="s">
        <v>173</v>
      </c>
      <c r="BD60" s="84"/>
      <c r="BE60" s="84"/>
      <c r="BF60" s="38" t="s">
        <v>173</v>
      </c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</row>
    <row r="61" spans="1:137" x14ac:dyDescent="0.25">
      <c r="A61" s="4">
        <v>2067</v>
      </c>
      <c r="B61" s="41">
        <v>0.08</v>
      </c>
      <c r="C61" s="41">
        <v>0.06</v>
      </c>
      <c r="D61" s="41">
        <v>0.08</v>
      </c>
      <c r="E61" s="41">
        <v>0.06</v>
      </c>
      <c r="F61" s="41">
        <v>0.05</v>
      </c>
      <c r="G61" s="40" t="s">
        <v>173</v>
      </c>
      <c r="H61" s="41">
        <v>81.709999999999994</v>
      </c>
      <c r="I61" s="38">
        <v>0</v>
      </c>
      <c r="J61" s="41">
        <v>17.100000000000001</v>
      </c>
      <c r="K61" s="38">
        <v>0</v>
      </c>
      <c r="L61" s="3"/>
      <c r="M61" s="3"/>
      <c r="N61" s="41">
        <v>4.68</v>
      </c>
      <c r="O61" s="41">
        <v>31.29</v>
      </c>
      <c r="P61" s="41">
        <v>20.55</v>
      </c>
      <c r="Q61" s="41">
        <v>20.34</v>
      </c>
      <c r="R61" s="41">
        <v>33.229999999999997</v>
      </c>
      <c r="S61" s="41">
        <v>29.95</v>
      </c>
      <c r="T61" s="41">
        <v>33.93</v>
      </c>
      <c r="U61" s="41">
        <v>33.130000000000003</v>
      </c>
      <c r="V61" s="41">
        <v>23.79</v>
      </c>
      <c r="W61" s="38" t="s">
        <v>173</v>
      </c>
      <c r="X61" s="38" t="s">
        <v>173</v>
      </c>
      <c r="Y61" s="38" t="s">
        <v>173</v>
      </c>
      <c r="Z61" s="38" t="s">
        <v>173</v>
      </c>
      <c r="AA61" s="38" t="s">
        <v>173</v>
      </c>
      <c r="AB61" s="38" t="s">
        <v>173</v>
      </c>
      <c r="AC61" s="38" t="s">
        <v>173</v>
      </c>
      <c r="AD61" s="3"/>
      <c r="AE61" s="41">
        <v>1.7000000000000001E-2</v>
      </c>
      <c r="AF61" s="38" t="s">
        <v>173</v>
      </c>
      <c r="AG61" s="3"/>
      <c r="AH61" s="38" t="s">
        <v>173</v>
      </c>
      <c r="AI61" s="38" t="s">
        <v>173</v>
      </c>
      <c r="AJ61" s="38" t="s">
        <v>173</v>
      </c>
      <c r="AK61" s="38" t="s">
        <v>173</v>
      </c>
      <c r="AL61" s="38" t="s">
        <v>173</v>
      </c>
      <c r="AM61" s="38" t="s">
        <v>173</v>
      </c>
      <c r="AN61" s="3"/>
      <c r="AO61" s="41">
        <v>0.25</v>
      </c>
      <c r="AP61" s="41">
        <v>0.17</v>
      </c>
      <c r="AQ61" s="41">
        <v>0.09</v>
      </c>
      <c r="AR61" s="38" t="s">
        <v>173</v>
      </c>
      <c r="AS61" s="38" t="s">
        <v>173</v>
      </c>
      <c r="AT61" s="41">
        <v>12.35</v>
      </c>
      <c r="AU61" s="41">
        <v>12.92</v>
      </c>
      <c r="AV61" s="41">
        <v>9.61</v>
      </c>
      <c r="AW61" s="38" t="s">
        <v>173</v>
      </c>
      <c r="AX61" s="38" t="s">
        <v>173</v>
      </c>
      <c r="AY61" s="41">
        <v>31.29</v>
      </c>
      <c r="AZ61" s="41">
        <v>20.55</v>
      </c>
      <c r="BA61" s="41">
        <v>20.34</v>
      </c>
      <c r="BB61" s="38" t="s">
        <v>173</v>
      </c>
      <c r="BC61" s="38" t="s">
        <v>173</v>
      </c>
      <c r="BD61" s="84"/>
      <c r="BE61" s="84"/>
      <c r="BF61" s="38" t="s">
        <v>173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</row>
    <row r="62" spans="1:137" x14ac:dyDescent="0.25">
      <c r="A62" s="4">
        <v>2068</v>
      </c>
      <c r="B62" s="41">
        <v>0.08</v>
      </c>
      <c r="C62" s="41">
        <v>0.06</v>
      </c>
      <c r="D62" s="41">
        <v>0.08</v>
      </c>
      <c r="E62" s="41">
        <v>0.06</v>
      </c>
      <c r="F62" s="41">
        <v>0.05</v>
      </c>
      <c r="G62" s="40" t="s">
        <v>173</v>
      </c>
      <c r="H62" s="41">
        <v>81.709999999999994</v>
      </c>
      <c r="I62" s="38">
        <v>0</v>
      </c>
      <c r="J62" s="41">
        <v>17.100000000000001</v>
      </c>
      <c r="K62" s="38">
        <v>0</v>
      </c>
      <c r="L62" s="3"/>
      <c r="M62" s="3"/>
      <c r="N62" s="41">
        <v>4.68</v>
      </c>
      <c r="O62" s="41">
        <v>31.29</v>
      </c>
      <c r="P62" s="41">
        <v>20.55</v>
      </c>
      <c r="Q62" s="41">
        <v>20.34</v>
      </c>
      <c r="R62" s="41">
        <v>33.229999999999997</v>
      </c>
      <c r="S62" s="41">
        <v>29.95</v>
      </c>
      <c r="T62" s="41">
        <v>33.93</v>
      </c>
      <c r="U62" s="41">
        <v>33.130000000000003</v>
      </c>
      <c r="V62" s="41">
        <v>23.79</v>
      </c>
      <c r="W62" s="38" t="s">
        <v>173</v>
      </c>
      <c r="X62" s="38" t="s">
        <v>173</v>
      </c>
      <c r="Y62" s="38" t="s">
        <v>173</v>
      </c>
      <c r="Z62" s="38" t="s">
        <v>173</v>
      </c>
      <c r="AA62" s="38" t="s">
        <v>173</v>
      </c>
      <c r="AB62" s="38" t="s">
        <v>173</v>
      </c>
      <c r="AC62" s="38" t="s">
        <v>173</v>
      </c>
      <c r="AD62" s="3"/>
      <c r="AE62" s="41">
        <v>1.7000000000000001E-2</v>
      </c>
      <c r="AF62" s="38" t="s">
        <v>173</v>
      </c>
      <c r="AG62" s="3"/>
      <c r="AH62" s="38" t="s">
        <v>173</v>
      </c>
      <c r="AI62" s="38" t="s">
        <v>173</v>
      </c>
      <c r="AJ62" s="38" t="s">
        <v>173</v>
      </c>
      <c r="AK62" s="38" t="s">
        <v>173</v>
      </c>
      <c r="AL62" s="38" t="s">
        <v>173</v>
      </c>
      <c r="AM62" s="38" t="s">
        <v>173</v>
      </c>
      <c r="AN62" s="3"/>
      <c r="AO62" s="41">
        <v>0.25</v>
      </c>
      <c r="AP62" s="41">
        <v>0.17</v>
      </c>
      <c r="AQ62" s="41">
        <v>0.09</v>
      </c>
      <c r="AR62" s="38" t="s">
        <v>173</v>
      </c>
      <c r="AS62" s="38" t="s">
        <v>173</v>
      </c>
      <c r="AT62" s="41">
        <v>12.35</v>
      </c>
      <c r="AU62" s="41">
        <v>12.92</v>
      </c>
      <c r="AV62" s="41">
        <v>9.61</v>
      </c>
      <c r="AW62" s="38" t="s">
        <v>173</v>
      </c>
      <c r="AX62" s="38" t="s">
        <v>173</v>
      </c>
      <c r="AY62" s="41">
        <v>31.29</v>
      </c>
      <c r="AZ62" s="41">
        <v>20.55</v>
      </c>
      <c r="BA62" s="41">
        <v>20.34</v>
      </c>
      <c r="BB62" s="38" t="s">
        <v>173</v>
      </c>
      <c r="BC62" s="38" t="s">
        <v>173</v>
      </c>
      <c r="BD62" s="84"/>
      <c r="BE62" s="84"/>
      <c r="BF62" s="38" t="s">
        <v>173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</row>
    <row r="63" spans="1:137" x14ac:dyDescent="0.25">
      <c r="A63" s="4">
        <v>2069</v>
      </c>
      <c r="B63" s="41">
        <v>0.08</v>
      </c>
      <c r="C63" s="41">
        <v>0.06</v>
      </c>
      <c r="D63" s="41">
        <v>0.08</v>
      </c>
      <c r="E63" s="41">
        <v>0.06</v>
      </c>
      <c r="F63" s="41">
        <v>0.05</v>
      </c>
      <c r="G63" s="40" t="s">
        <v>173</v>
      </c>
      <c r="H63" s="41">
        <v>81.709999999999994</v>
      </c>
      <c r="I63" s="38">
        <v>0</v>
      </c>
      <c r="J63" s="41">
        <v>17.100000000000001</v>
      </c>
      <c r="K63" s="38">
        <v>0</v>
      </c>
      <c r="L63" s="3"/>
      <c r="M63" s="3"/>
      <c r="N63" s="41">
        <v>4.68</v>
      </c>
      <c r="O63" s="41">
        <v>31.29</v>
      </c>
      <c r="P63" s="41">
        <v>20.55</v>
      </c>
      <c r="Q63" s="41">
        <v>20.34</v>
      </c>
      <c r="R63" s="41">
        <v>33.229999999999997</v>
      </c>
      <c r="S63" s="41">
        <v>29.95</v>
      </c>
      <c r="T63" s="41">
        <v>33.93</v>
      </c>
      <c r="U63" s="41">
        <v>33.130000000000003</v>
      </c>
      <c r="V63" s="41">
        <v>23.79</v>
      </c>
      <c r="W63" s="38" t="s">
        <v>173</v>
      </c>
      <c r="X63" s="38" t="s">
        <v>173</v>
      </c>
      <c r="Y63" s="38" t="s">
        <v>173</v>
      </c>
      <c r="Z63" s="38" t="s">
        <v>173</v>
      </c>
      <c r="AA63" s="38" t="s">
        <v>173</v>
      </c>
      <c r="AB63" s="38" t="s">
        <v>173</v>
      </c>
      <c r="AC63" s="38" t="s">
        <v>173</v>
      </c>
      <c r="AD63" s="3"/>
      <c r="AE63" s="41">
        <v>1.7000000000000001E-2</v>
      </c>
      <c r="AF63" s="38" t="s">
        <v>173</v>
      </c>
      <c r="AG63" s="3"/>
      <c r="AH63" s="38" t="s">
        <v>173</v>
      </c>
      <c r="AI63" s="38" t="s">
        <v>173</v>
      </c>
      <c r="AJ63" s="38" t="s">
        <v>173</v>
      </c>
      <c r="AK63" s="38" t="s">
        <v>173</v>
      </c>
      <c r="AL63" s="38" t="s">
        <v>173</v>
      </c>
      <c r="AM63" s="38" t="s">
        <v>173</v>
      </c>
      <c r="AN63" s="3"/>
      <c r="AO63" s="41">
        <v>0.25</v>
      </c>
      <c r="AP63" s="41">
        <v>0.17</v>
      </c>
      <c r="AQ63" s="41">
        <v>0.09</v>
      </c>
      <c r="AR63" s="38" t="s">
        <v>173</v>
      </c>
      <c r="AS63" s="38" t="s">
        <v>173</v>
      </c>
      <c r="AT63" s="41">
        <v>12.35</v>
      </c>
      <c r="AU63" s="41">
        <v>12.92</v>
      </c>
      <c r="AV63" s="41">
        <v>9.61</v>
      </c>
      <c r="AW63" s="38" t="s">
        <v>173</v>
      </c>
      <c r="AX63" s="38" t="s">
        <v>173</v>
      </c>
      <c r="AY63" s="41">
        <v>31.29</v>
      </c>
      <c r="AZ63" s="41">
        <v>20.55</v>
      </c>
      <c r="BA63" s="41">
        <v>20.34</v>
      </c>
      <c r="BB63" s="38" t="s">
        <v>173</v>
      </c>
      <c r="BC63" s="38" t="s">
        <v>173</v>
      </c>
      <c r="BD63" s="84"/>
      <c r="BE63" s="84"/>
      <c r="BF63" s="38" t="s">
        <v>173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</row>
    <row r="64" spans="1:137" x14ac:dyDescent="0.25">
      <c r="A64" s="4">
        <v>2070</v>
      </c>
      <c r="B64" s="41">
        <v>0.08</v>
      </c>
      <c r="C64" s="41">
        <v>0.06</v>
      </c>
      <c r="D64" s="41">
        <v>0.08</v>
      </c>
      <c r="E64" s="41">
        <v>0.06</v>
      </c>
      <c r="F64" s="41">
        <v>0.05</v>
      </c>
      <c r="G64" s="40" t="s">
        <v>173</v>
      </c>
      <c r="H64" s="41">
        <v>81.709999999999994</v>
      </c>
      <c r="I64" s="38">
        <v>0</v>
      </c>
      <c r="J64" s="41">
        <v>17.100000000000001</v>
      </c>
      <c r="K64" s="38">
        <v>0</v>
      </c>
      <c r="L64" s="3"/>
      <c r="M64" s="3"/>
      <c r="N64" s="41">
        <v>4.68</v>
      </c>
      <c r="O64" s="41">
        <v>31.29</v>
      </c>
      <c r="P64" s="41">
        <v>20.55</v>
      </c>
      <c r="Q64" s="41">
        <v>20.34</v>
      </c>
      <c r="R64" s="41">
        <v>33.229999999999997</v>
      </c>
      <c r="S64" s="41">
        <v>29.95</v>
      </c>
      <c r="T64" s="41">
        <v>33.93</v>
      </c>
      <c r="U64" s="41">
        <v>33.130000000000003</v>
      </c>
      <c r="V64" s="41">
        <v>23.79</v>
      </c>
      <c r="W64" s="38" t="s">
        <v>173</v>
      </c>
      <c r="X64" s="38" t="s">
        <v>173</v>
      </c>
      <c r="Y64" s="38" t="s">
        <v>173</v>
      </c>
      <c r="Z64" s="38" t="s">
        <v>173</v>
      </c>
      <c r="AA64" s="38" t="s">
        <v>173</v>
      </c>
      <c r="AB64" s="38" t="s">
        <v>173</v>
      </c>
      <c r="AC64" s="38" t="s">
        <v>173</v>
      </c>
      <c r="AD64" s="3"/>
      <c r="AE64" s="41">
        <v>1.7000000000000001E-2</v>
      </c>
      <c r="AF64" s="38" t="s">
        <v>173</v>
      </c>
      <c r="AG64" s="3"/>
      <c r="AH64" s="38" t="s">
        <v>173</v>
      </c>
      <c r="AI64" s="38" t="s">
        <v>173</v>
      </c>
      <c r="AJ64" s="38" t="s">
        <v>173</v>
      </c>
      <c r="AK64" s="38" t="s">
        <v>173</v>
      </c>
      <c r="AL64" s="38" t="s">
        <v>173</v>
      </c>
      <c r="AM64" s="38" t="s">
        <v>173</v>
      </c>
      <c r="AN64" s="3"/>
      <c r="AO64" s="41">
        <v>0.25</v>
      </c>
      <c r="AP64" s="41">
        <v>0.17</v>
      </c>
      <c r="AQ64" s="41">
        <v>0.09</v>
      </c>
      <c r="AR64" s="38" t="s">
        <v>173</v>
      </c>
      <c r="AS64" s="38" t="s">
        <v>173</v>
      </c>
      <c r="AT64" s="41">
        <v>12.35</v>
      </c>
      <c r="AU64" s="41">
        <v>12.92</v>
      </c>
      <c r="AV64" s="41">
        <v>9.61</v>
      </c>
      <c r="AW64" s="38" t="s">
        <v>173</v>
      </c>
      <c r="AX64" s="38" t="s">
        <v>173</v>
      </c>
      <c r="AY64" s="41">
        <v>31.29</v>
      </c>
      <c r="AZ64" s="41">
        <v>20.55</v>
      </c>
      <c r="BA64" s="41">
        <v>20.34</v>
      </c>
      <c r="BB64" s="38" t="s">
        <v>173</v>
      </c>
      <c r="BC64" s="38" t="s">
        <v>173</v>
      </c>
      <c r="BD64" s="84"/>
      <c r="BE64" s="84"/>
      <c r="BF64" s="38" t="s">
        <v>173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</row>
    <row r="65" spans="1:137" x14ac:dyDescent="0.25">
      <c r="A65" s="4">
        <v>2071</v>
      </c>
      <c r="B65" s="41">
        <v>0.08</v>
      </c>
      <c r="C65" s="41">
        <v>0.06</v>
      </c>
      <c r="D65" s="41">
        <v>0.08</v>
      </c>
      <c r="E65" s="41">
        <v>0.06</v>
      </c>
      <c r="F65" s="41">
        <v>0.05</v>
      </c>
      <c r="G65" s="40" t="s">
        <v>173</v>
      </c>
      <c r="H65" s="41">
        <v>81.709999999999994</v>
      </c>
      <c r="I65" s="38">
        <v>0</v>
      </c>
      <c r="J65" s="41">
        <v>17.100000000000001</v>
      </c>
      <c r="K65" s="38">
        <v>0</v>
      </c>
      <c r="L65" s="3"/>
      <c r="M65" s="3"/>
      <c r="N65" s="41">
        <v>4.68</v>
      </c>
      <c r="O65" s="41">
        <v>31.29</v>
      </c>
      <c r="P65" s="41">
        <v>20.55</v>
      </c>
      <c r="Q65" s="41">
        <v>20.34</v>
      </c>
      <c r="R65" s="41">
        <v>33.229999999999997</v>
      </c>
      <c r="S65" s="41">
        <v>29.95</v>
      </c>
      <c r="T65" s="41">
        <v>33.93</v>
      </c>
      <c r="U65" s="41">
        <v>33.130000000000003</v>
      </c>
      <c r="V65" s="41">
        <v>23.79</v>
      </c>
      <c r="W65" s="38" t="s">
        <v>173</v>
      </c>
      <c r="X65" s="38" t="s">
        <v>173</v>
      </c>
      <c r="Y65" s="38" t="s">
        <v>173</v>
      </c>
      <c r="Z65" s="38" t="s">
        <v>173</v>
      </c>
      <c r="AA65" s="38" t="s">
        <v>173</v>
      </c>
      <c r="AB65" s="38" t="s">
        <v>173</v>
      </c>
      <c r="AC65" s="38" t="s">
        <v>173</v>
      </c>
      <c r="AD65" s="3"/>
      <c r="AE65" s="41">
        <v>1.7000000000000001E-2</v>
      </c>
      <c r="AF65" s="38" t="s">
        <v>173</v>
      </c>
      <c r="AG65" s="3"/>
      <c r="AH65" s="38" t="s">
        <v>173</v>
      </c>
      <c r="AI65" s="38" t="s">
        <v>173</v>
      </c>
      <c r="AJ65" s="38" t="s">
        <v>173</v>
      </c>
      <c r="AK65" s="38" t="s">
        <v>173</v>
      </c>
      <c r="AL65" s="38" t="s">
        <v>173</v>
      </c>
      <c r="AM65" s="38" t="s">
        <v>173</v>
      </c>
      <c r="AN65" s="3"/>
      <c r="AO65" s="41">
        <v>0.25</v>
      </c>
      <c r="AP65" s="41">
        <v>0.17</v>
      </c>
      <c r="AQ65" s="41">
        <v>0.09</v>
      </c>
      <c r="AR65" s="38" t="s">
        <v>173</v>
      </c>
      <c r="AS65" s="38" t="s">
        <v>173</v>
      </c>
      <c r="AT65" s="41">
        <v>12.35</v>
      </c>
      <c r="AU65" s="41">
        <v>12.92</v>
      </c>
      <c r="AV65" s="41">
        <v>9.61</v>
      </c>
      <c r="AW65" s="38" t="s">
        <v>173</v>
      </c>
      <c r="AX65" s="38" t="s">
        <v>173</v>
      </c>
      <c r="AY65" s="41">
        <v>31.29</v>
      </c>
      <c r="AZ65" s="41">
        <v>20.55</v>
      </c>
      <c r="BA65" s="41">
        <v>20.34</v>
      </c>
      <c r="BB65" s="38" t="s">
        <v>173</v>
      </c>
      <c r="BC65" s="38" t="s">
        <v>173</v>
      </c>
      <c r="BD65" s="84"/>
      <c r="BE65" s="84"/>
      <c r="BF65" s="38" t="s">
        <v>173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</row>
    <row r="66" spans="1:137" x14ac:dyDescent="0.25">
      <c r="A66" s="4">
        <v>2072</v>
      </c>
      <c r="B66" s="41">
        <v>0.08</v>
      </c>
      <c r="C66" s="41">
        <v>0.06</v>
      </c>
      <c r="D66" s="41">
        <v>0.08</v>
      </c>
      <c r="E66" s="41">
        <v>0.06</v>
      </c>
      <c r="F66" s="41">
        <v>0.05</v>
      </c>
      <c r="G66" s="40" t="s">
        <v>173</v>
      </c>
      <c r="H66" s="41">
        <v>81.709999999999994</v>
      </c>
      <c r="I66" s="38">
        <v>0</v>
      </c>
      <c r="J66" s="41">
        <v>17.100000000000001</v>
      </c>
      <c r="K66" s="38">
        <v>0</v>
      </c>
      <c r="L66" s="3"/>
      <c r="M66" s="3"/>
      <c r="N66" s="41">
        <v>4.68</v>
      </c>
      <c r="O66" s="41">
        <v>31.29</v>
      </c>
      <c r="P66" s="41">
        <v>20.55</v>
      </c>
      <c r="Q66" s="41">
        <v>20.34</v>
      </c>
      <c r="R66" s="41">
        <v>33.229999999999997</v>
      </c>
      <c r="S66" s="41">
        <v>29.95</v>
      </c>
      <c r="T66" s="41">
        <v>33.93</v>
      </c>
      <c r="U66" s="41">
        <v>33.130000000000003</v>
      </c>
      <c r="V66" s="41">
        <v>23.79</v>
      </c>
      <c r="W66" s="38" t="s">
        <v>173</v>
      </c>
      <c r="X66" s="38" t="s">
        <v>173</v>
      </c>
      <c r="Y66" s="38" t="s">
        <v>173</v>
      </c>
      <c r="Z66" s="38" t="s">
        <v>173</v>
      </c>
      <c r="AA66" s="38" t="s">
        <v>173</v>
      </c>
      <c r="AB66" s="38" t="s">
        <v>173</v>
      </c>
      <c r="AC66" s="38" t="s">
        <v>173</v>
      </c>
      <c r="AD66" s="3"/>
      <c r="AE66" s="41">
        <v>1.7000000000000001E-2</v>
      </c>
      <c r="AF66" s="38" t="s">
        <v>173</v>
      </c>
      <c r="AG66" s="3"/>
      <c r="AH66" s="38" t="s">
        <v>173</v>
      </c>
      <c r="AI66" s="38" t="s">
        <v>173</v>
      </c>
      <c r="AJ66" s="38" t="s">
        <v>173</v>
      </c>
      <c r="AK66" s="38" t="s">
        <v>173</v>
      </c>
      <c r="AL66" s="38" t="s">
        <v>173</v>
      </c>
      <c r="AM66" s="38" t="s">
        <v>173</v>
      </c>
      <c r="AN66" s="3"/>
      <c r="AO66" s="41">
        <v>0.25</v>
      </c>
      <c r="AP66" s="41">
        <v>0.17</v>
      </c>
      <c r="AQ66" s="41">
        <v>0.09</v>
      </c>
      <c r="AR66" s="38" t="s">
        <v>173</v>
      </c>
      <c r="AS66" s="38" t="s">
        <v>173</v>
      </c>
      <c r="AT66" s="41">
        <v>12.35</v>
      </c>
      <c r="AU66" s="41">
        <v>12.92</v>
      </c>
      <c r="AV66" s="41">
        <v>9.61</v>
      </c>
      <c r="AW66" s="38" t="s">
        <v>173</v>
      </c>
      <c r="AX66" s="38" t="s">
        <v>173</v>
      </c>
      <c r="AY66" s="41">
        <v>31.29</v>
      </c>
      <c r="AZ66" s="41">
        <v>20.55</v>
      </c>
      <c r="BA66" s="41">
        <v>20.34</v>
      </c>
      <c r="BB66" s="38" t="s">
        <v>173</v>
      </c>
      <c r="BC66" s="38" t="s">
        <v>173</v>
      </c>
      <c r="BD66" s="84"/>
      <c r="BE66" s="84"/>
      <c r="BF66" s="38" t="s">
        <v>173</v>
      </c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</row>
    <row r="67" spans="1:137" x14ac:dyDescent="0.25">
      <c r="A67" s="4">
        <v>2073</v>
      </c>
      <c r="B67" s="41">
        <v>0.08</v>
      </c>
      <c r="C67" s="41">
        <v>0.06</v>
      </c>
      <c r="D67" s="41">
        <v>0.08</v>
      </c>
      <c r="E67" s="41">
        <v>0.06</v>
      </c>
      <c r="F67" s="41">
        <v>0.05</v>
      </c>
      <c r="G67" s="40" t="s">
        <v>173</v>
      </c>
      <c r="H67" s="41">
        <v>81.709999999999994</v>
      </c>
      <c r="I67" s="38">
        <v>0</v>
      </c>
      <c r="J67" s="41">
        <v>17.100000000000001</v>
      </c>
      <c r="K67" s="38">
        <v>0</v>
      </c>
      <c r="L67" s="3"/>
      <c r="M67" s="3"/>
      <c r="N67" s="41">
        <v>4.68</v>
      </c>
      <c r="O67" s="41">
        <v>31.29</v>
      </c>
      <c r="P67" s="41">
        <v>20.55</v>
      </c>
      <c r="Q67" s="41">
        <v>20.34</v>
      </c>
      <c r="R67" s="41">
        <v>33.229999999999997</v>
      </c>
      <c r="S67" s="41">
        <v>29.95</v>
      </c>
      <c r="T67" s="41">
        <v>33.93</v>
      </c>
      <c r="U67" s="41">
        <v>33.130000000000003</v>
      </c>
      <c r="V67" s="41">
        <v>23.79</v>
      </c>
      <c r="W67" s="38" t="s">
        <v>173</v>
      </c>
      <c r="X67" s="38" t="s">
        <v>173</v>
      </c>
      <c r="Y67" s="38" t="s">
        <v>173</v>
      </c>
      <c r="Z67" s="38" t="s">
        <v>173</v>
      </c>
      <c r="AA67" s="38" t="s">
        <v>173</v>
      </c>
      <c r="AB67" s="38" t="s">
        <v>173</v>
      </c>
      <c r="AC67" s="38" t="s">
        <v>173</v>
      </c>
      <c r="AD67" s="3"/>
      <c r="AE67" s="41">
        <v>1.7000000000000001E-2</v>
      </c>
      <c r="AF67" s="38" t="s">
        <v>173</v>
      </c>
      <c r="AG67" s="3"/>
      <c r="AH67" s="38" t="s">
        <v>173</v>
      </c>
      <c r="AI67" s="38" t="s">
        <v>173</v>
      </c>
      <c r="AJ67" s="38" t="s">
        <v>173</v>
      </c>
      <c r="AK67" s="38" t="s">
        <v>173</v>
      </c>
      <c r="AL67" s="38" t="s">
        <v>173</v>
      </c>
      <c r="AM67" s="38" t="s">
        <v>173</v>
      </c>
      <c r="AN67" s="3"/>
      <c r="AO67" s="41">
        <v>0.25</v>
      </c>
      <c r="AP67" s="41">
        <v>0.17</v>
      </c>
      <c r="AQ67" s="41">
        <v>0.09</v>
      </c>
      <c r="AR67" s="38" t="s">
        <v>173</v>
      </c>
      <c r="AS67" s="38" t="s">
        <v>173</v>
      </c>
      <c r="AT67" s="41">
        <v>12.35</v>
      </c>
      <c r="AU67" s="41">
        <v>12.92</v>
      </c>
      <c r="AV67" s="41">
        <v>9.61</v>
      </c>
      <c r="AW67" s="38" t="s">
        <v>173</v>
      </c>
      <c r="AX67" s="38" t="s">
        <v>173</v>
      </c>
      <c r="AY67" s="41">
        <v>31.29</v>
      </c>
      <c r="AZ67" s="41">
        <v>20.55</v>
      </c>
      <c r="BA67" s="41">
        <v>20.34</v>
      </c>
      <c r="BB67" s="38" t="s">
        <v>173</v>
      </c>
      <c r="BC67" s="38" t="s">
        <v>173</v>
      </c>
      <c r="BD67" s="84"/>
      <c r="BE67" s="84"/>
      <c r="BF67" s="38" t="s">
        <v>173</v>
      </c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</row>
    <row r="68" spans="1:137" x14ac:dyDescent="0.25">
      <c r="A68" s="4">
        <v>2074</v>
      </c>
      <c r="B68" s="41">
        <v>0.08</v>
      </c>
      <c r="C68" s="41">
        <v>0.06</v>
      </c>
      <c r="D68" s="41">
        <v>0.08</v>
      </c>
      <c r="E68" s="41">
        <v>0.06</v>
      </c>
      <c r="F68" s="41">
        <v>0.05</v>
      </c>
      <c r="G68" s="40" t="s">
        <v>173</v>
      </c>
      <c r="H68" s="41">
        <v>81.709999999999994</v>
      </c>
      <c r="I68" s="38">
        <v>0</v>
      </c>
      <c r="J68" s="41">
        <v>17.100000000000001</v>
      </c>
      <c r="K68" s="38">
        <v>0</v>
      </c>
      <c r="L68" s="3"/>
      <c r="M68" s="3"/>
      <c r="N68" s="41">
        <v>4.68</v>
      </c>
      <c r="O68" s="41">
        <v>31.29</v>
      </c>
      <c r="P68" s="41">
        <v>20.55</v>
      </c>
      <c r="Q68" s="41">
        <v>20.34</v>
      </c>
      <c r="R68" s="41">
        <v>33.229999999999997</v>
      </c>
      <c r="S68" s="41">
        <v>29.95</v>
      </c>
      <c r="T68" s="41">
        <v>33.93</v>
      </c>
      <c r="U68" s="41">
        <v>33.130000000000003</v>
      </c>
      <c r="V68" s="41">
        <v>23.79</v>
      </c>
      <c r="W68" s="38" t="s">
        <v>173</v>
      </c>
      <c r="X68" s="38" t="s">
        <v>173</v>
      </c>
      <c r="Y68" s="38" t="s">
        <v>173</v>
      </c>
      <c r="Z68" s="38" t="s">
        <v>173</v>
      </c>
      <c r="AA68" s="38" t="s">
        <v>173</v>
      </c>
      <c r="AB68" s="38" t="s">
        <v>173</v>
      </c>
      <c r="AC68" s="38" t="s">
        <v>173</v>
      </c>
      <c r="AD68" s="3"/>
      <c r="AE68" s="41">
        <v>1.7000000000000001E-2</v>
      </c>
      <c r="AF68" s="38" t="s">
        <v>173</v>
      </c>
      <c r="AG68" s="3"/>
      <c r="AH68" s="38" t="s">
        <v>173</v>
      </c>
      <c r="AI68" s="38" t="s">
        <v>173</v>
      </c>
      <c r="AJ68" s="38" t="s">
        <v>173</v>
      </c>
      <c r="AK68" s="38" t="s">
        <v>173</v>
      </c>
      <c r="AL68" s="38" t="s">
        <v>173</v>
      </c>
      <c r="AM68" s="38" t="s">
        <v>173</v>
      </c>
      <c r="AN68" s="3"/>
      <c r="AO68" s="41">
        <v>0.25</v>
      </c>
      <c r="AP68" s="41">
        <v>0.17</v>
      </c>
      <c r="AQ68" s="41">
        <v>0.09</v>
      </c>
      <c r="AR68" s="38" t="s">
        <v>173</v>
      </c>
      <c r="AS68" s="38" t="s">
        <v>173</v>
      </c>
      <c r="AT68" s="41">
        <v>12.35</v>
      </c>
      <c r="AU68" s="41">
        <v>12.92</v>
      </c>
      <c r="AV68" s="41">
        <v>9.61</v>
      </c>
      <c r="AW68" s="38" t="s">
        <v>173</v>
      </c>
      <c r="AX68" s="38" t="s">
        <v>173</v>
      </c>
      <c r="AY68" s="41">
        <v>31.29</v>
      </c>
      <c r="AZ68" s="41">
        <v>20.55</v>
      </c>
      <c r="BA68" s="41">
        <v>20.34</v>
      </c>
      <c r="BB68" s="38" t="s">
        <v>173</v>
      </c>
      <c r="BC68" s="38" t="s">
        <v>173</v>
      </c>
      <c r="BD68" s="84"/>
      <c r="BE68" s="84"/>
      <c r="BF68" s="38" t="s">
        <v>173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</row>
    <row r="69" spans="1:137" x14ac:dyDescent="0.25">
      <c r="A69" s="4">
        <v>2075</v>
      </c>
      <c r="B69" s="41">
        <v>0.08</v>
      </c>
      <c r="C69" s="41">
        <v>0.06</v>
      </c>
      <c r="D69" s="41">
        <v>0.08</v>
      </c>
      <c r="E69" s="41">
        <v>0.06</v>
      </c>
      <c r="F69" s="41">
        <v>0.05</v>
      </c>
      <c r="G69" s="40" t="s">
        <v>173</v>
      </c>
      <c r="H69" s="41">
        <v>81.709999999999994</v>
      </c>
      <c r="I69" s="38">
        <v>0</v>
      </c>
      <c r="J69" s="41">
        <v>17.100000000000001</v>
      </c>
      <c r="K69" s="38">
        <v>0</v>
      </c>
      <c r="L69" s="3"/>
      <c r="M69" s="3"/>
      <c r="N69" s="41">
        <v>4.68</v>
      </c>
      <c r="O69" s="41">
        <v>31.29</v>
      </c>
      <c r="P69" s="41">
        <v>20.55</v>
      </c>
      <c r="Q69" s="41">
        <v>20.34</v>
      </c>
      <c r="R69" s="41">
        <v>33.229999999999997</v>
      </c>
      <c r="S69" s="41">
        <v>29.95</v>
      </c>
      <c r="T69" s="41">
        <v>33.93</v>
      </c>
      <c r="U69" s="41">
        <v>33.130000000000003</v>
      </c>
      <c r="V69" s="41">
        <v>23.79</v>
      </c>
      <c r="W69" s="38" t="s">
        <v>173</v>
      </c>
      <c r="X69" s="38" t="s">
        <v>173</v>
      </c>
      <c r="Y69" s="38" t="s">
        <v>173</v>
      </c>
      <c r="Z69" s="38" t="s">
        <v>173</v>
      </c>
      <c r="AA69" s="38" t="s">
        <v>173</v>
      </c>
      <c r="AB69" s="38" t="s">
        <v>173</v>
      </c>
      <c r="AC69" s="38" t="s">
        <v>173</v>
      </c>
      <c r="AD69" s="3"/>
      <c r="AE69" s="41">
        <v>1.7000000000000001E-2</v>
      </c>
      <c r="AF69" s="38" t="s">
        <v>173</v>
      </c>
      <c r="AG69" s="3"/>
      <c r="AH69" s="38" t="s">
        <v>173</v>
      </c>
      <c r="AI69" s="38" t="s">
        <v>173</v>
      </c>
      <c r="AJ69" s="38" t="s">
        <v>173</v>
      </c>
      <c r="AK69" s="38" t="s">
        <v>173</v>
      </c>
      <c r="AL69" s="38" t="s">
        <v>173</v>
      </c>
      <c r="AM69" s="38" t="s">
        <v>173</v>
      </c>
      <c r="AN69" s="3"/>
      <c r="AO69" s="41">
        <v>0.25</v>
      </c>
      <c r="AP69" s="41">
        <v>0.17</v>
      </c>
      <c r="AQ69" s="41">
        <v>0.09</v>
      </c>
      <c r="AR69" s="38" t="s">
        <v>173</v>
      </c>
      <c r="AS69" s="38" t="s">
        <v>173</v>
      </c>
      <c r="AT69" s="41">
        <v>12.35</v>
      </c>
      <c r="AU69" s="41">
        <v>12.92</v>
      </c>
      <c r="AV69" s="41">
        <v>9.61</v>
      </c>
      <c r="AW69" s="38" t="s">
        <v>173</v>
      </c>
      <c r="AX69" s="38" t="s">
        <v>173</v>
      </c>
      <c r="AY69" s="41">
        <v>31.29</v>
      </c>
      <c r="AZ69" s="41">
        <v>20.55</v>
      </c>
      <c r="BA69" s="41">
        <v>20.34</v>
      </c>
      <c r="BB69" s="38" t="s">
        <v>173</v>
      </c>
      <c r="BC69" s="38" t="s">
        <v>173</v>
      </c>
      <c r="BD69" s="84"/>
      <c r="BE69" s="84"/>
      <c r="BF69" s="38" t="s">
        <v>173</v>
      </c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</row>
    <row r="70" spans="1:13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84"/>
      <c r="BE70" s="84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</row>
    <row r="71" spans="1:13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84"/>
      <c r="BE71" s="84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4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</row>
  </sheetData>
  <mergeCells count="249">
    <mergeCell ref="BD71:BE71"/>
    <mergeCell ref="BD65:BE65"/>
    <mergeCell ref="BD66:BE66"/>
    <mergeCell ref="BD67:BE67"/>
    <mergeCell ref="BD68:BE68"/>
    <mergeCell ref="BD69:BE69"/>
    <mergeCell ref="BD70:BE70"/>
    <mergeCell ref="BD59:BE59"/>
    <mergeCell ref="BD60:BE60"/>
    <mergeCell ref="BD61:BE61"/>
    <mergeCell ref="BD62:BE62"/>
    <mergeCell ref="BD63:BE63"/>
    <mergeCell ref="BD64:BE64"/>
    <mergeCell ref="BD53:BE53"/>
    <mergeCell ref="BD54:BE54"/>
    <mergeCell ref="BD55:BE55"/>
    <mergeCell ref="BD56:BE56"/>
    <mergeCell ref="BD57:BE57"/>
    <mergeCell ref="BD58:BE58"/>
    <mergeCell ref="BD47:BE47"/>
    <mergeCell ref="BD48:BE48"/>
    <mergeCell ref="BD49:BE49"/>
    <mergeCell ref="BD50:BE50"/>
    <mergeCell ref="BD51:BE51"/>
    <mergeCell ref="BD52:BE52"/>
    <mergeCell ref="BD41:BE41"/>
    <mergeCell ref="BD42:BE42"/>
    <mergeCell ref="BD43:BE43"/>
    <mergeCell ref="BD44:BE44"/>
    <mergeCell ref="BD45:BE45"/>
    <mergeCell ref="BD46:BE46"/>
    <mergeCell ref="BD35:BE35"/>
    <mergeCell ref="BD36:BE36"/>
    <mergeCell ref="BD37:BE37"/>
    <mergeCell ref="BD38:BE38"/>
    <mergeCell ref="BD39:BE39"/>
    <mergeCell ref="BD40:BE40"/>
    <mergeCell ref="BD29:BE29"/>
    <mergeCell ref="BD30:BE30"/>
    <mergeCell ref="BD31:BE31"/>
    <mergeCell ref="BD32:BE32"/>
    <mergeCell ref="BD33:BE33"/>
    <mergeCell ref="BD34:BE34"/>
    <mergeCell ref="BD23:BE23"/>
    <mergeCell ref="BD24:BE24"/>
    <mergeCell ref="BD25:BE25"/>
    <mergeCell ref="BD26:BE26"/>
    <mergeCell ref="BD27:BE27"/>
    <mergeCell ref="BD28:BE28"/>
    <mergeCell ref="EE16:EE17"/>
    <mergeCell ref="EF16:EF17"/>
    <mergeCell ref="EG16:EG17"/>
    <mergeCell ref="BD20:BE20"/>
    <mergeCell ref="BD21:BE21"/>
    <mergeCell ref="BD22:BE22"/>
    <mergeCell ref="DY16:DY17"/>
    <mergeCell ref="DZ16:DZ17"/>
    <mergeCell ref="EA16:EA17"/>
    <mergeCell ref="EB16:EB17"/>
    <mergeCell ref="EC16:EC17"/>
    <mergeCell ref="ED16:ED17"/>
    <mergeCell ref="DS16:DS17"/>
    <mergeCell ref="DT16:DT17"/>
    <mergeCell ref="DU16:DU17"/>
    <mergeCell ref="DV16:DV17"/>
    <mergeCell ref="DW16:DW17"/>
    <mergeCell ref="DX16:DX17"/>
    <mergeCell ref="DM16:DM17"/>
    <mergeCell ref="DN16:DN17"/>
    <mergeCell ref="DO16:DO17"/>
    <mergeCell ref="DP16:DP17"/>
    <mergeCell ref="DQ16:DQ17"/>
    <mergeCell ref="DR16:DR17"/>
    <mergeCell ref="DG16:DG17"/>
    <mergeCell ref="DH16:DH17"/>
    <mergeCell ref="DI16:DI17"/>
    <mergeCell ref="DJ16:DJ17"/>
    <mergeCell ref="DK16:DK17"/>
    <mergeCell ref="DL16:DL17"/>
    <mergeCell ref="DA16:DA17"/>
    <mergeCell ref="DB16:DB17"/>
    <mergeCell ref="DC16:DC17"/>
    <mergeCell ref="DD16:DD17"/>
    <mergeCell ref="DE16:DE17"/>
    <mergeCell ref="DF16:DF17"/>
    <mergeCell ref="CU16:CU17"/>
    <mergeCell ref="CV16:CV17"/>
    <mergeCell ref="CW16:CW17"/>
    <mergeCell ref="CX16:CX17"/>
    <mergeCell ref="CY16:CY17"/>
    <mergeCell ref="CZ16:CZ17"/>
    <mergeCell ref="CO16:CO17"/>
    <mergeCell ref="CP16:CP17"/>
    <mergeCell ref="CQ16:CQ17"/>
    <mergeCell ref="CR16:CR17"/>
    <mergeCell ref="CS16:CS17"/>
    <mergeCell ref="CT16:CT17"/>
    <mergeCell ref="CI16:CI17"/>
    <mergeCell ref="CJ16:CJ17"/>
    <mergeCell ref="CK16:CK17"/>
    <mergeCell ref="CL16:CL17"/>
    <mergeCell ref="CM16:CM17"/>
    <mergeCell ref="CN16:CN17"/>
    <mergeCell ref="CC16:CC17"/>
    <mergeCell ref="CD16:CD17"/>
    <mergeCell ref="CE16:CE17"/>
    <mergeCell ref="CF16:CF17"/>
    <mergeCell ref="CG16:CG17"/>
    <mergeCell ref="CH16:CH17"/>
    <mergeCell ref="BW16:BW17"/>
    <mergeCell ref="BX16:BX17"/>
    <mergeCell ref="BY16:BY17"/>
    <mergeCell ref="BZ16:BZ17"/>
    <mergeCell ref="CA16:CA17"/>
    <mergeCell ref="CB16:CB17"/>
    <mergeCell ref="BQ16:BQ17"/>
    <mergeCell ref="BR16:BR17"/>
    <mergeCell ref="BS16:BS17"/>
    <mergeCell ref="BT16:BT17"/>
    <mergeCell ref="BU16:BU17"/>
    <mergeCell ref="BV16:BV17"/>
    <mergeCell ref="BK16:BK17"/>
    <mergeCell ref="BL16:BL17"/>
    <mergeCell ref="BM16:BM17"/>
    <mergeCell ref="BN16:BN17"/>
    <mergeCell ref="BO16:BO17"/>
    <mergeCell ref="BP16:BP17"/>
    <mergeCell ref="BE16:BE17"/>
    <mergeCell ref="BF16:BF17"/>
    <mergeCell ref="BG16:BG17"/>
    <mergeCell ref="BH16:BH17"/>
    <mergeCell ref="BI16:BI17"/>
    <mergeCell ref="BJ16:BJ17"/>
    <mergeCell ref="AY16:AY17"/>
    <mergeCell ref="AZ16:AZ17"/>
    <mergeCell ref="BA16:BA17"/>
    <mergeCell ref="BB16:BB17"/>
    <mergeCell ref="BC16:BC17"/>
    <mergeCell ref="BD16:BD17"/>
    <mergeCell ref="AS16:AS17"/>
    <mergeCell ref="AT16:AT17"/>
    <mergeCell ref="AU16:AU17"/>
    <mergeCell ref="AV16:AV17"/>
    <mergeCell ref="AW16:AW17"/>
    <mergeCell ref="AX16:AX17"/>
    <mergeCell ref="AM16:AM17"/>
    <mergeCell ref="AN16:AN17"/>
    <mergeCell ref="AO16:AO17"/>
    <mergeCell ref="AP16:AP17"/>
    <mergeCell ref="AQ16:AQ17"/>
    <mergeCell ref="AR16:AR17"/>
    <mergeCell ref="AG16:AG17"/>
    <mergeCell ref="AH16:AH17"/>
    <mergeCell ref="AI16:AI17"/>
    <mergeCell ref="AJ16:AJ17"/>
    <mergeCell ref="AK16:AK17"/>
    <mergeCell ref="AL16:AL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L15:M15"/>
    <mergeCell ref="AC15:AD15"/>
    <mergeCell ref="AF15:AG15"/>
    <mergeCell ref="BE15:BF15"/>
    <mergeCell ref="B16:B17"/>
    <mergeCell ref="C16:C17"/>
    <mergeCell ref="D16:D17"/>
    <mergeCell ref="E16:E17"/>
    <mergeCell ref="F16:F17"/>
    <mergeCell ref="G16:G17"/>
    <mergeCell ref="O16:O17"/>
    <mergeCell ref="P16:P17"/>
    <mergeCell ref="Q16:Q17"/>
    <mergeCell ref="R16:R17"/>
    <mergeCell ref="S16:S17"/>
    <mergeCell ref="T16:T17"/>
    <mergeCell ref="H16:H17"/>
    <mergeCell ref="I16:I17"/>
    <mergeCell ref="J16:J17"/>
    <mergeCell ref="K16:K17"/>
    <mergeCell ref="L16:M17"/>
    <mergeCell ref="N16:N17"/>
    <mergeCell ref="AA16:AA17"/>
    <mergeCell ref="AB16:AB17"/>
    <mergeCell ref="L13:M13"/>
    <mergeCell ref="AC13:AD13"/>
    <mergeCell ref="AF13:AG13"/>
    <mergeCell ref="AN13:AO13"/>
    <mergeCell ref="BD13:BE13"/>
    <mergeCell ref="L14:M14"/>
    <mergeCell ref="AC14:AD14"/>
    <mergeCell ref="AF14:AG14"/>
    <mergeCell ref="L11:M11"/>
    <mergeCell ref="AC11:AD11"/>
    <mergeCell ref="AF11:AG11"/>
    <mergeCell ref="AN11:AO11"/>
    <mergeCell ref="BD11:BE11"/>
    <mergeCell ref="L12:M12"/>
    <mergeCell ref="AD12:AE12"/>
    <mergeCell ref="AF12:AG12"/>
    <mergeCell ref="AN12:AO12"/>
    <mergeCell ref="BD12:BE12"/>
    <mergeCell ref="AD9:AE9"/>
    <mergeCell ref="AF9:AG9"/>
    <mergeCell ref="AN9:AO9"/>
    <mergeCell ref="BD9:BE9"/>
    <mergeCell ref="L10:M10"/>
    <mergeCell ref="AC10:AD10"/>
    <mergeCell ref="AF10:AG10"/>
    <mergeCell ref="AN10:AO10"/>
    <mergeCell ref="BD10:BE10"/>
    <mergeCell ref="AD7:AE7"/>
    <mergeCell ref="AF7:AG7"/>
    <mergeCell ref="BD7:BE7"/>
    <mergeCell ref="AD8:AE8"/>
    <mergeCell ref="AF8:AG8"/>
    <mergeCell ref="BD8:BE8"/>
    <mergeCell ref="AD5:AE5"/>
    <mergeCell ref="AF5:AG5"/>
    <mergeCell ref="BD5:BE5"/>
    <mergeCell ref="AD6:AE6"/>
    <mergeCell ref="AF6:AG6"/>
    <mergeCell ref="BD6:BE6"/>
    <mergeCell ref="AC3:AD3"/>
    <mergeCell ref="AF3:AG3"/>
    <mergeCell ref="AN3:AO3"/>
    <mergeCell ref="BD3:BE3"/>
    <mergeCell ref="AD4:AE4"/>
    <mergeCell ref="AF4:AG4"/>
    <mergeCell ref="AL4:AM4"/>
    <mergeCell ref="AN4:AO4"/>
    <mergeCell ref="BD4:BE4"/>
    <mergeCell ref="E1:J1"/>
    <mergeCell ref="AC1:AD1"/>
    <mergeCell ref="AF1:AG1"/>
    <mergeCell ref="AN1:AO1"/>
    <mergeCell ref="BD1:BE1"/>
    <mergeCell ref="L2:M2"/>
    <mergeCell ref="AC2:AD2"/>
    <mergeCell ref="AF2:AG2"/>
    <mergeCell ref="AN2:AO2"/>
    <mergeCell ref="BD2:B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2B9D-3FDA-4092-ABEF-8AB424D35D4A}">
  <dimension ref="A1:AW269"/>
  <sheetViews>
    <sheetView topLeftCell="A74" workbookViewId="0">
      <selection activeCell="B89" sqref="B89"/>
    </sheetView>
  </sheetViews>
  <sheetFormatPr defaultRowHeight="15" x14ac:dyDescent="0.25"/>
  <cols>
    <col min="17" max="17" width="16.5703125" customWidth="1"/>
  </cols>
  <sheetData>
    <row r="1" spans="1:49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</row>
    <row r="2" spans="1:49" x14ac:dyDescent="0.25">
      <c r="A2" s="45"/>
      <c r="B2" s="3"/>
      <c r="C2" s="6" t="s">
        <v>175</v>
      </c>
      <c r="D2" s="3"/>
      <c r="E2" s="6" t="s">
        <v>173</v>
      </c>
      <c r="F2" s="7" t="s">
        <v>173</v>
      </c>
      <c r="G2" s="3" t="s">
        <v>176</v>
      </c>
      <c r="H2" s="84"/>
      <c r="I2" s="84"/>
      <c r="J2" s="45"/>
      <c r="K2" s="45"/>
      <c r="L2" s="45"/>
      <c r="M2" s="3"/>
      <c r="N2" s="3"/>
      <c r="O2" s="3"/>
      <c r="P2" s="3"/>
      <c r="Q2" s="45"/>
      <c r="R2" s="3"/>
      <c r="S2" s="3"/>
      <c r="T2" s="3"/>
      <c r="U2" s="3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</row>
    <row r="3" spans="1:49" ht="26.25" x14ac:dyDescent="0.25">
      <c r="A3" s="45"/>
      <c r="B3" s="3"/>
      <c r="C3" s="12" t="s">
        <v>186</v>
      </c>
      <c r="D3" s="9" t="s">
        <v>187</v>
      </c>
      <c r="E3" s="13" t="s">
        <v>96</v>
      </c>
      <c r="F3" s="86" t="s">
        <v>188</v>
      </c>
      <c r="G3" s="87"/>
      <c r="H3" s="84"/>
      <c r="I3" s="84"/>
      <c r="J3" s="33" t="s">
        <v>254</v>
      </c>
      <c r="K3" s="45">
        <v>1000</v>
      </c>
      <c r="L3" s="45"/>
      <c r="M3" s="3"/>
      <c r="N3" s="33"/>
      <c r="O3" s="33"/>
      <c r="P3" s="33"/>
      <c r="Q3" s="45"/>
      <c r="R3" s="3"/>
      <c r="S3" s="33"/>
      <c r="T3" s="33"/>
      <c r="U3" s="33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 spans="1:49" x14ac:dyDescent="0.25">
      <c r="A4" s="45"/>
      <c r="B4" s="3" t="s">
        <v>190</v>
      </c>
      <c r="C4" s="15" t="s">
        <v>173</v>
      </c>
      <c r="D4" s="16" t="s">
        <v>173</v>
      </c>
      <c r="E4" s="16" t="s">
        <v>173</v>
      </c>
      <c r="F4" s="20" t="s">
        <v>191</v>
      </c>
      <c r="G4" s="21" t="s">
        <v>192</v>
      </c>
      <c r="H4" s="3"/>
      <c r="I4" s="3" t="s">
        <v>193</v>
      </c>
      <c r="J4" s="45" t="s">
        <v>255</v>
      </c>
      <c r="K4" s="45">
        <v>1000000</v>
      </c>
      <c r="L4" s="45"/>
      <c r="M4" s="3"/>
      <c r="N4" s="3"/>
      <c r="O4" s="3"/>
      <c r="P4" s="3"/>
      <c r="Q4" s="46">
        <v>53851963000</v>
      </c>
      <c r="R4" s="3"/>
      <c r="S4" s="3"/>
      <c r="T4" s="3"/>
      <c r="U4" s="3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</row>
    <row r="5" spans="1:49" x14ac:dyDescent="0.25">
      <c r="A5" s="45"/>
      <c r="B5" s="3" t="s">
        <v>195</v>
      </c>
      <c r="C5" s="15">
        <v>5.3060000000000003E-2</v>
      </c>
      <c r="D5" s="16">
        <v>9.9999999999999995E-8</v>
      </c>
      <c r="E5" s="16">
        <v>9.9999999999999995E-7</v>
      </c>
      <c r="F5" s="20" t="s">
        <v>191</v>
      </c>
      <c r="G5" s="21" t="s">
        <v>196</v>
      </c>
      <c r="H5" s="3"/>
      <c r="I5" s="3" t="s">
        <v>197</v>
      </c>
      <c r="J5" s="45"/>
      <c r="K5" s="45"/>
      <c r="L5" s="45"/>
      <c r="M5" s="3"/>
      <c r="N5" s="3"/>
      <c r="O5" s="3"/>
      <c r="P5" s="3"/>
      <c r="Q5" s="46">
        <v>33692992000</v>
      </c>
      <c r="R5" s="3"/>
      <c r="S5" s="3"/>
      <c r="T5" s="3"/>
      <c r="U5" s="3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</row>
    <row r="6" spans="1:49" x14ac:dyDescent="0.25">
      <c r="A6" s="45"/>
      <c r="B6" s="3" t="s">
        <v>199</v>
      </c>
      <c r="C6" s="15">
        <v>7.3959999999999998E-2</v>
      </c>
      <c r="D6" s="16">
        <v>5.9999999999999997E-7</v>
      </c>
      <c r="E6" s="16">
        <v>3.0000000000000001E-6</v>
      </c>
      <c r="F6" s="20" t="s">
        <v>191</v>
      </c>
      <c r="G6" s="21" t="s">
        <v>196</v>
      </c>
      <c r="H6" s="3"/>
      <c r="I6" s="3">
        <v>1.1020000000000001</v>
      </c>
      <c r="J6" s="45"/>
      <c r="K6" s="45"/>
      <c r="L6" s="45"/>
      <c r="M6" s="3"/>
      <c r="N6" s="3"/>
      <c r="O6" s="3"/>
      <c r="P6" s="3"/>
      <c r="Q6" s="46">
        <v>703489000</v>
      </c>
      <c r="R6" s="3"/>
      <c r="S6" s="3"/>
      <c r="T6" s="3"/>
      <c r="U6" s="3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 t="s">
        <v>256</v>
      </c>
      <c r="AJ6" s="45" t="s">
        <v>257</v>
      </c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 x14ac:dyDescent="0.25">
      <c r="A7" s="45"/>
      <c r="B7" s="3"/>
      <c r="C7" s="3"/>
      <c r="D7" s="3"/>
      <c r="E7" s="3"/>
      <c r="F7" s="3"/>
      <c r="G7" s="3"/>
      <c r="H7" s="3"/>
      <c r="I7" s="3">
        <v>8.9200000000000008E-3</v>
      </c>
      <c r="J7" s="45"/>
      <c r="K7" s="45"/>
      <c r="L7" s="45"/>
      <c r="M7" s="45"/>
      <c r="N7" s="45"/>
      <c r="O7" s="45"/>
      <c r="P7" s="45"/>
      <c r="Q7" s="46">
        <v>92642031663</v>
      </c>
      <c r="R7" s="45">
        <v>0.95257499999999995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>
        <v>0.137381</v>
      </c>
      <c r="AJ7" s="45">
        <v>0.120214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</row>
    <row r="8" spans="1:49" x14ac:dyDescent="0.25">
      <c r="A8" s="45"/>
      <c r="B8" s="3"/>
      <c r="C8" s="25"/>
      <c r="D8" s="25"/>
      <c r="E8" s="25"/>
      <c r="F8" s="26" t="s">
        <v>191</v>
      </c>
      <c r="G8" s="3" t="s">
        <v>203</v>
      </c>
      <c r="H8" s="84"/>
      <c r="I8" s="8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</row>
    <row r="9" spans="1:49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7" t="s">
        <v>258</v>
      </c>
      <c r="AJ9" s="48"/>
      <c r="AK9" s="48"/>
      <c r="AL9" s="48"/>
      <c r="AM9" s="48"/>
      <c r="AN9" s="48"/>
      <c r="AO9" s="45"/>
      <c r="AP9" s="45"/>
      <c r="AQ9" s="45"/>
      <c r="AR9" s="45"/>
      <c r="AS9" s="45"/>
      <c r="AT9" s="45"/>
      <c r="AU9" s="45"/>
      <c r="AV9" s="45"/>
      <c r="AW9" s="45"/>
    </row>
    <row r="10" spans="1:49" x14ac:dyDescent="0.25">
      <c r="A10" s="45"/>
      <c r="B10" s="45"/>
      <c r="C10" s="45"/>
      <c r="D10" s="45"/>
      <c r="E10" s="45"/>
      <c r="F10" s="45"/>
      <c r="G10" s="45" t="s">
        <v>259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</row>
    <row r="11" spans="1:49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</row>
    <row r="12" spans="1:49" x14ac:dyDescent="0.25">
      <c r="A12" s="45"/>
      <c r="B12" s="49" t="s">
        <v>260</v>
      </c>
      <c r="C12" s="49" t="s">
        <v>173</v>
      </c>
      <c r="D12" s="49" t="s">
        <v>173</v>
      </c>
      <c r="E12" s="49" t="s">
        <v>173</v>
      </c>
      <c r="F12" s="49" t="s">
        <v>173</v>
      </c>
      <c r="G12" s="50" t="s">
        <v>261</v>
      </c>
      <c r="H12" s="51"/>
      <c r="I12" s="51"/>
      <c r="J12" s="51"/>
      <c r="K12" s="51"/>
      <c r="L12" s="49" t="s">
        <v>173</v>
      </c>
      <c r="M12" s="49" t="s">
        <v>173</v>
      </c>
      <c r="N12" s="49" t="s">
        <v>173</v>
      </c>
      <c r="O12" s="49" t="s">
        <v>173</v>
      </c>
      <c r="P12" s="49" t="s">
        <v>173</v>
      </c>
      <c r="Q12" s="49" t="s">
        <v>173</v>
      </c>
      <c r="R12" s="49" t="s">
        <v>173</v>
      </c>
      <c r="S12" s="49" t="s">
        <v>173</v>
      </c>
      <c r="T12" s="49" t="s">
        <v>173</v>
      </c>
      <c r="U12" s="49" t="s">
        <v>173</v>
      </c>
      <c r="V12" s="49" t="s">
        <v>173</v>
      </c>
      <c r="W12" s="49" t="s">
        <v>173</v>
      </c>
      <c r="X12" s="49" t="s">
        <v>173</v>
      </c>
      <c r="Y12" s="49" t="s">
        <v>173</v>
      </c>
      <c r="Z12" s="49" t="s">
        <v>173</v>
      </c>
      <c r="AA12" s="49" t="s">
        <v>173</v>
      </c>
      <c r="AB12" s="49" t="s">
        <v>173</v>
      </c>
      <c r="AC12" s="49" t="s">
        <v>173</v>
      </c>
      <c r="AD12" s="49" t="s">
        <v>173</v>
      </c>
      <c r="AE12" s="49" t="s">
        <v>173</v>
      </c>
      <c r="AF12" s="49" t="s">
        <v>173</v>
      </c>
      <c r="AG12" s="49" t="s">
        <v>173</v>
      </c>
      <c r="AH12" s="49" t="s">
        <v>173</v>
      </c>
      <c r="AI12" s="49" t="s">
        <v>173</v>
      </c>
      <c r="AJ12" s="49" t="s">
        <v>173</v>
      </c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</row>
    <row r="13" spans="1:49" x14ac:dyDescent="0.25">
      <c r="A13" s="45"/>
      <c r="B13" s="3" t="s">
        <v>209</v>
      </c>
      <c r="C13" s="3"/>
      <c r="D13" s="3"/>
      <c r="E13" s="3"/>
      <c r="F13" s="3"/>
      <c r="G13" s="3"/>
      <c r="H13" s="45"/>
      <c r="I13" s="45"/>
      <c r="J13" s="45"/>
      <c r="K13" s="45"/>
      <c r="L13" s="45"/>
      <c r="M13" s="45"/>
      <c r="N13" s="3" t="s">
        <v>209</v>
      </c>
      <c r="O13" s="3"/>
      <c r="P13" s="3"/>
      <c r="Q13" s="3"/>
      <c r="R13" s="3"/>
      <c r="S13" s="3"/>
      <c r="T13" s="45"/>
      <c r="U13" s="45"/>
      <c r="V13" s="45"/>
      <c r="W13" s="45"/>
      <c r="X13" s="45"/>
      <c r="Y13" s="45"/>
      <c r="Z13" s="45"/>
      <c r="AA13" s="45" t="s">
        <v>262</v>
      </c>
      <c r="AB13" s="45">
        <v>5.3060000000000003E-2</v>
      </c>
      <c r="AC13" s="45">
        <v>7.3959999999999998E-2</v>
      </c>
      <c r="AD13" s="45">
        <v>7.3959999999999998E-2</v>
      </c>
      <c r="AE13" s="45">
        <v>7.3959999999999998E-2</v>
      </c>
      <c r="AF13" s="45">
        <v>6.2869999999999995E-2</v>
      </c>
      <c r="AG13" s="45">
        <v>6.2869999999999995E-2</v>
      </c>
      <c r="AH13" s="45">
        <v>6.2869999999999995E-2</v>
      </c>
      <c r="AI13" s="45">
        <v>7.4318864999999998E-2</v>
      </c>
      <c r="AJ13" s="45">
        <v>7.3036418000000006E-2</v>
      </c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</row>
    <row r="14" spans="1:49" x14ac:dyDescent="0.25">
      <c r="A14" s="45"/>
      <c r="B14" s="6" t="s">
        <v>223</v>
      </c>
      <c r="C14" s="3"/>
      <c r="D14" s="3"/>
      <c r="E14" s="6" t="s">
        <v>173</v>
      </c>
      <c r="F14" s="6" t="s">
        <v>173</v>
      </c>
      <c r="G14" s="6" t="s">
        <v>173</v>
      </c>
      <c r="H14" s="45"/>
      <c r="I14" s="45"/>
      <c r="J14" s="45"/>
      <c r="K14" s="45"/>
      <c r="L14" s="45"/>
      <c r="M14" s="45"/>
      <c r="N14" s="6" t="s">
        <v>223</v>
      </c>
      <c r="O14" s="3"/>
      <c r="P14" s="3"/>
      <c r="Q14" s="3"/>
      <c r="R14" s="6" t="s">
        <v>173</v>
      </c>
      <c r="S14" s="6" t="s">
        <v>173</v>
      </c>
      <c r="T14" s="45"/>
      <c r="U14" s="45"/>
      <c r="V14" s="45"/>
      <c r="W14" s="45"/>
      <c r="X14" s="45"/>
      <c r="Y14" s="45"/>
      <c r="Z14" s="45"/>
      <c r="AA14" s="45"/>
      <c r="AB14" s="45">
        <v>1</v>
      </c>
      <c r="AC14" s="45">
        <v>2</v>
      </c>
      <c r="AD14" s="45">
        <v>3</v>
      </c>
      <c r="AE14" s="45">
        <v>4</v>
      </c>
      <c r="AF14" s="45">
        <v>5</v>
      </c>
      <c r="AG14" s="45">
        <v>6</v>
      </c>
      <c r="AH14" s="45">
        <v>7</v>
      </c>
      <c r="AI14" s="45">
        <v>8</v>
      </c>
      <c r="AJ14" s="45">
        <v>9</v>
      </c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</row>
    <row r="15" spans="1:49" x14ac:dyDescent="0.25">
      <c r="A15" s="45"/>
      <c r="B15" s="97" t="s">
        <v>178</v>
      </c>
      <c r="C15" s="101" t="s">
        <v>179</v>
      </c>
      <c r="D15" s="101" t="s">
        <v>180</v>
      </c>
      <c r="E15" s="101" t="s">
        <v>181</v>
      </c>
      <c r="F15" s="101" t="s">
        <v>238</v>
      </c>
      <c r="G15" s="99" t="s">
        <v>239</v>
      </c>
      <c r="H15" s="45"/>
      <c r="I15" s="45"/>
      <c r="J15" s="45"/>
      <c r="K15" s="45"/>
      <c r="L15" s="45"/>
      <c r="M15" s="45"/>
      <c r="N15" s="97" t="s">
        <v>178</v>
      </c>
      <c r="O15" s="101" t="s">
        <v>179</v>
      </c>
      <c r="P15" s="101" t="s">
        <v>180</v>
      </c>
      <c r="Q15" s="101" t="s">
        <v>181</v>
      </c>
      <c r="R15" s="101" t="s">
        <v>238</v>
      </c>
      <c r="S15" s="99" t="s">
        <v>239</v>
      </c>
      <c r="T15" s="45"/>
      <c r="U15" s="45"/>
      <c r="V15" s="45"/>
      <c r="W15" s="45"/>
      <c r="X15" s="45"/>
      <c r="Y15" s="45"/>
      <c r="Z15" s="45"/>
      <c r="AA15" s="45"/>
      <c r="AB15" s="45" t="s">
        <v>185</v>
      </c>
      <c r="AC15" s="45" t="s">
        <v>229</v>
      </c>
      <c r="AD15" s="45" t="s">
        <v>230</v>
      </c>
      <c r="AE15" s="45" t="s">
        <v>231</v>
      </c>
      <c r="AF15" s="45" t="s">
        <v>232</v>
      </c>
      <c r="AG15" s="45" t="s">
        <v>233</v>
      </c>
      <c r="AH15" s="45" t="s">
        <v>234</v>
      </c>
      <c r="AI15" s="45" t="s">
        <v>235</v>
      </c>
      <c r="AJ15" s="45" t="s">
        <v>236</v>
      </c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</row>
    <row r="16" spans="1:49" x14ac:dyDescent="0.25">
      <c r="A16" s="45"/>
      <c r="B16" s="97"/>
      <c r="C16" s="101"/>
      <c r="D16" s="101"/>
      <c r="E16" s="101"/>
      <c r="F16" s="101"/>
      <c r="G16" s="99"/>
      <c r="H16" s="45"/>
      <c r="I16" s="45"/>
      <c r="J16" s="45"/>
      <c r="K16" s="45"/>
      <c r="L16" s="45"/>
      <c r="M16" s="45"/>
      <c r="N16" s="97"/>
      <c r="O16" s="101"/>
      <c r="P16" s="101"/>
      <c r="Q16" s="101"/>
      <c r="R16" s="101"/>
      <c r="S16" s="99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104" t="s">
        <v>263</v>
      </c>
      <c r="AO16" s="104"/>
      <c r="AP16" s="104"/>
      <c r="AQ16" s="104"/>
      <c r="AR16" s="104"/>
      <c r="AS16" s="104"/>
      <c r="AT16" s="104"/>
      <c r="AU16" s="104"/>
      <c r="AV16" s="104"/>
      <c r="AW16" s="45"/>
    </row>
    <row r="17" spans="1:49" ht="60" x14ac:dyDescent="0.25">
      <c r="A17" s="45"/>
      <c r="B17" s="34" t="s">
        <v>173</v>
      </c>
      <c r="C17" s="3"/>
      <c r="D17" s="3"/>
      <c r="E17" s="3"/>
      <c r="F17" s="3"/>
      <c r="G17" s="30" t="s">
        <v>173</v>
      </c>
      <c r="H17" s="45"/>
      <c r="I17" s="45"/>
      <c r="J17" s="45"/>
      <c r="K17" s="45"/>
      <c r="L17" s="45"/>
      <c r="M17" s="45"/>
      <c r="N17" s="34" t="s">
        <v>173</v>
      </c>
      <c r="O17" s="3"/>
      <c r="P17" s="3"/>
      <c r="Q17" s="3"/>
      <c r="R17" s="3"/>
      <c r="S17" s="30" t="s">
        <v>173</v>
      </c>
      <c r="T17" s="45"/>
      <c r="U17" s="45"/>
      <c r="V17" s="45"/>
      <c r="W17" s="45"/>
      <c r="X17" s="45"/>
      <c r="Y17" s="45"/>
      <c r="Z17" s="45"/>
      <c r="AA17" s="45"/>
      <c r="AB17" s="45" t="s">
        <v>185</v>
      </c>
      <c r="AC17" s="45" t="s">
        <v>246</v>
      </c>
      <c r="AD17" s="45" t="s">
        <v>246</v>
      </c>
      <c r="AE17" s="45" t="s">
        <v>246</v>
      </c>
      <c r="AF17" s="45" t="s">
        <v>247</v>
      </c>
      <c r="AG17" s="45" t="s">
        <v>247</v>
      </c>
      <c r="AH17" s="45" t="s">
        <v>247</v>
      </c>
      <c r="AI17" s="45" t="s">
        <v>246</v>
      </c>
      <c r="AJ17" s="45" t="s">
        <v>246</v>
      </c>
      <c r="AK17" s="45"/>
      <c r="AL17" s="45"/>
      <c r="AM17" s="52" t="s">
        <v>264</v>
      </c>
      <c r="AN17" s="53" t="s">
        <v>185</v>
      </c>
      <c r="AO17" s="53" t="s">
        <v>229</v>
      </c>
      <c r="AP17" s="53" t="s">
        <v>230</v>
      </c>
      <c r="AQ17" s="53" t="s">
        <v>231</v>
      </c>
      <c r="AR17" s="53" t="s">
        <v>232</v>
      </c>
      <c r="AS17" s="53" t="s">
        <v>233</v>
      </c>
      <c r="AT17" s="53" t="s">
        <v>234</v>
      </c>
      <c r="AU17" s="53" t="s">
        <v>235</v>
      </c>
      <c r="AV17" s="53" t="s">
        <v>236</v>
      </c>
      <c r="AW17" s="45"/>
    </row>
    <row r="18" spans="1:49" x14ac:dyDescent="0.25">
      <c r="A18" s="45"/>
      <c r="B18" s="34" t="s">
        <v>192</v>
      </c>
      <c r="C18" s="3" t="s">
        <v>192</v>
      </c>
      <c r="D18" s="3" t="s">
        <v>192</v>
      </c>
      <c r="E18" s="3" t="s">
        <v>192</v>
      </c>
      <c r="F18" s="3" t="s">
        <v>192</v>
      </c>
      <c r="G18" s="30" t="s">
        <v>192</v>
      </c>
      <c r="H18" s="45"/>
      <c r="I18" s="45"/>
      <c r="J18" s="45"/>
      <c r="K18" s="45"/>
      <c r="L18" s="45"/>
      <c r="M18" s="45"/>
      <c r="N18" s="30" t="s">
        <v>265</v>
      </c>
      <c r="O18" s="30" t="s">
        <v>265</v>
      </c>
      <c r="P18" s="30" t="s">
        <v>265</v>
      </c>
      <c r="Q18" s="30" t="s">
        <v>265</v>
      </c>
      <c r="R18" s="30" t="s">
        <v>265</v>
      </c>
      <c r="S18" s="30" t="s">
        <v>265</v>
      </c>
      <c r="T18" s="45"/>
      <c r="U18" s="45"/>
      <c r="V18" s="45"/>
      <c r="W18" s="45"/>
      <c r="X18" s="45"/>
      <c r="Y18" s="45"/>
      <c r="Z18" s="45"/>
      <c r="AA18" s="45"/>
      <c r="AB18" s="45" t="s">
        <v>196</v>
      </c>
      <c r="AC18" s="45" t="s">
        <v>196</v>
      </c>
      <c r="AD18" s="45" t="s">
        <v>196</v>
      </c>
      <c r="AE18" s="45" t="s">
        <v>196</v>
      </c>
      <c r="AF18" s="45" t="s">
        <v>196</v>
      </c>
      <c r="AG18" s="45" t="s">
        <v>196</v>
      </c>
      <c r="AH18" s="45" t="s">
        <v>196</v>
      </c>
      <c r="AI18" s="45" t="s">
        <v>196</v>
      </c>
      <c r="AJ18" s="45" t="s">
        <v>196</v>
      </c>
      <c r="AK18" s="45"/>
      <c r="AL18" s="45"/>
      <c r="AM18" s="54">
        <v>2026</v>
      </c>
      <c r="AN18" s="55">
        <v>14.605</v>
      </c>
      <c r="AO18" s="55">
        <v>20.398</v>
      </c>
      <c r="AP18" s="55">
        <v>20.398</v>
      </c>
      <c r="AQ18" s="55">
        <v>20.398</v>
      </c>
      <c r="AR18" s="55">
        <v>17.347999999999999</v>
      </c>
      <c r="AS18" s="55">
        <v>17.347999999999999</v>
      </c>
      <c r="AT18" s="55">
        <v>17.347999999999999</v>
      </c>
      <c r="AU18" s="55">
        <v>20.497</v>
      </c>
      <c r="AV18" s="55">
        <v>20.143999999999998</v>
      </c>
      <c r="AW18" s="45"/>
    </row>
    <row r="19" spans="1:49" x14ac:dyDescent="0.25">
      <c r="A19" s="4">
        <v>2020</v>
      </c>
      <c r="B19" s="56" t="s">
        <v>173</v>
      </c>
      <c r="C19" s="56" t="s">
        <v>173</v>
      </c>
      <c r="D19" s="56" t="s">
        <v>173</v>
      </c>
      <c r="E19" s="56" t="s">
        <v>173</v>
      </c>
      <c r="F19" s="56" t="s">
        <v>173</v>
      </c>
      <c r="G19" s="56" t="s">
        <v>173</v>
      </c>
      <c r="H19" s="45"/>
      <c r="I19" s="45"/>
      <c r="J19" s="45"/>
      <c r="K19" s="45"/>
      <c r="L19" s="45"/>
      <c r="M19" s="4">
        <v>2020</v>
      </c>
      <c r="N19" s="56" t="s">
        <v>173</v>
      </c>
      <c r="O19" s="57" t="s">
        <v>173</v>
      </c>
      <c r="P19" s="57" t="s">
        <v>173</v>
      </c>
      <c r="Q19" s="57" t="s">
        <v>173</v>
      </c>
      <c r="R19" s="57" t="s">
        <v>173</v>
      </c>
      <c r="S19" s="58" t="s">
        <v>173</v>
      </c>
      <c r="T19" s="45"/>
      <c r="U19" s="45"/>
      <c r="V19" s="45"/>
      <c r="W19" s="45"/>
      <c r="X19" s="45"/>
      <c r="Y19" s="45"/>
      <c r="Z19" s="45"/>
      <c r="AA19" s="45"/>
      <c r="AB19" s="59" t="s">
        <v>173</v>
      </c>
      <c r="AC19" s="59" t="s">
        <v>173</v>
      </c>
      <c r="AD19" s="59" t="s">
        <v>173</v>
      </c>
      <c r="AE19" s="59" t="s">
        <v>173</v>
      </c>
      <c r="AF19" s="59" t="s">
        <v>173</v>
      </c>
      <c r="AG19" s="59" t="s">
        <v>173</v>
      </c>
      <c r="AH19" s="59" t="s">
        <v>173</v>
      </c>
      <c r="AI19" s="59" t="s">
        <v>173</v>
      </c>
      <c r="AJ19" s="59" t="s">
        <v>173</v>
      </c>
      <c r="AK19" s="45"/>
      <c r="AL19" s="45"/>
      <c r="AM19" s="60">
        <v>2030</v>
      </c>
      <c r="AN19" s="61">
        <v>15.624000000000001</v>
      </c>
      <c r="AO19" s="61">
        <v>21.821999999999999</v>
      </c>
      <c r="AP19" s="61">
        <v>21.821999999999999</v>
      </c>
      <c r="AQ19" s="61">
        <v>21.821999999999999</v>
      </c>
      <c r="AR19" s="61">
        <v>18.559000000000001</v>
      </c>
      <c r="AS19" s="61">
        <v>18.559000000000001</v>
      </c>
      <c r="AT19" s="61">
        <v>18.559000000000001</v>
      </c>
      <c r="AU19" s="61">
        <v>21.928000000000001</v>
      </c>
      <c r="AV19" s="61">
        <v>21.55</v>
      </c>
      <c r="AW19" s="45"/>
    </row>
    <row r="20" spans="1:49" x14ac:dyDescent="0.25">
      <c r="A20" s="4">
        <v>2021</v>
      </c>
      <c r="B20" s="62" t="s">
        <v>173</v>
      </c>
      <c r="C20" s="38" t="s">
        <v>173</v>
      </c>
      <c r="D20" s="38" t="s">
        <v>173</v>
      </c>
      <c r="E20" s="38" t="s">
        <v>173</v>
      </c>
      <c r="F20" s="38" t="s">
        <v>173</v>
      </c>
      <c r="G20" s="63" t="s">
        <v>173</v>
      </c>
      <c r="H20" s="45"/>
      <c r="I20" s="45"/>
      <c r="J20" s="45"/>
      <c r="K20" s="45"/>
      <c r="L20" s="45"/>
      <c r="M20" s="4">
        <v>2021</v>
      </c>
      <c r="N20" s="62" t="s">
        <v>173</v>
      </c>
      <c r="O20" s="38" t="s">
        <v>173</v>
      </c>
      <c r="P20" s="38" t="s">
        <v>173</v>
      </c>
      <c r="Q20" s="38" t="s">
        <v>173</v>
      </c>
      <c r="R20" s="38" t="s">
        <v>173</v>
      </c>
      <c r="S20" s="63" t="s">
        <v>173</v>
      </c>
      <c r="T20" s="45"/>
      <c r="U20" s="45"/>
      <c r="V20" s="45"/>
      <c r="W20" s="45"/>
      <c r="X20" s="45"/>
      <c r="Y20" s="45"/>
      <c r="Z20" s="45"/>
      <c r="AA20" s="45"/>
      <c r="AB20" s="59" t="s">
        <v>173</v>
      </c>
      <c r="AC20" s="59" t="s">
        <v>173</v>
      </c>
      <c r="AD20" s="59" t="s">
        <v>173</v>
      </c>
      <c r="AE20" s="59" t="s">
        <v>173</v>
      </c>
      <c r="AF20" s="59" t="s">
        <v>173</v>
      </c>
      <c r="AG20" s="59" t="s">
        <v>173</v>
      </c>
      <c r="AH20" s="59" t="s">
        <v>173</v>
      </c>
      <c r="AI20" s="59" t="s">
        <v>173</v>
      </c>
      <c r="AJ20" s="59" t="s">
        <v>173</v>
      </c>
      <c r="AK20" s="45"/>
      <c r="AL20" s="45"/>
      <c r="AM20" s="54">
        <v>2035</v>
      </c>
      <c r="AN20" s="55">
        <v>16.847000000000001</v>
      </c>
      <c r="AO20" s="55">
        <v>23.532</v>
      </c>
      <c r="AP20" s="55">
        <v>23.532</v>
      </c>
      <c r="AQ20" s="55">
        <v>23.532</v>
      </c>
      <c r="AR20" s="55">
        <v>20.013000000000002</v>
      </c>
      <c r="AS20" s="55">
        <v>20.013000000000002</v>
      </c>
      <c r="AT20" s="55">
        <v>20.013000000000002</v>
      </c>
      <c r="AU20" s="55">
        <v>23.646000000000001</v>
      </c>
      <c r="AV20" s="55">
        <v>23.239000000000001</v>
      </c>
      <c r="AW20" s="45"/>
    </row>
    <row r="21" spans="1:49" x14ac:dyDescent="0.25">
      <c r="A21" s="4">
        <v>2022</v>
      </c>
      <c r="B21" s="62" t="s">
        <v>173</v>
      </c>
      <c r="C21" s="38" t="s">
        <v>173</v>
      </c>
      <c r="D21" s="38" t="s">
        <v>173</v>
      </c>
      <c r="E21" s="38" t="s">
        <v>173</v>
      </c>
      <c r="F21" s="38" t="s">
        <v>173</v>
      </c>
      <c r="G21" s="63" t="s">
        <v>173</v>
      </c>
      <c r="H21" s="45"/>
      <c r="I21" s="45"/>
      <c r="J21" s="45"/>
      <c r="K21" s="45"/>
      <c r="L21" s="45"/>
      <c r="M21" s="4">
        <v>2022</v>
      </c>
      <c r="N21" s="62" t="s">
        <v>173</v>
      </c>
      <c r="O21" s="38" t="s">
        <v>173</v>
      </c>
      <c r="P21" s="38" t="s">
        <v>173</v>
      </c>
      <c r="Q21" s="38" t="s">
        <v>173</v>
      </c>
      <c r="R21" s="38" t="s">
        <v>173</v>
      </c>
      <c r="S21" s="63" t="s">
        <v>173</v>
      </c>
      <c r="T21" s="45"/>
      <c r="U21" s="45"/>
      <c r="V21" s="45"/>
      <c r="W21" s="45"/>
      <c r="X21" s="45"/>
      <c r="Y21" s="45"/>
      <c r="Z21" s="45"/>
      <c r="AA21" s="45"/>
      <c r="AB21" s="59" t="s">
        <v>173</v>
      </c>
      <c r="AC21" s="59" t="s">
        <v>173</v>
      </c>
      <c r="AD21" s="59" t="s">
        <v>173</v>
      </c>
      <c r="AE21" s="59" t="s">
        <v>173</v>
      </c>
      <c r="AF21" s="59" t="s">
        <v>173</v>
      </c>
      <c r="AG21" s="59" t="s">
        <v>173</v>
      </c>
      <c r="AH21" s="59" t="s">
        <v>173</v>
      </c>
      <c r="AI21" s="59" t="s">
        <v>173</v>
      </c>
      <c r="AJ21" s="59" t="s">
        <v>173</v>
      </c>
      <c r="AK21" s="45"/>
      <c r="AL21" s="45"/>
      <c r="AM21" s="60">
        <v>2040</v>
      </c>
      <c r="AN21" s="61">
        <v>18.138000000000002</v>
      </c>
      <c r="AO21" s="61">
        <v>25.335999999999999</v>
      </c>
      <c r="AP21" s="61">
        <v>25.335999999999999</v>
      </c>
      <c r="AQ21" s="61">
        <v>25.335999999999999</v>
      </c>
      <c r="AR21" s="61">
        <v>21.547999999999998</v>
      </c>
      <c r="AS21" s="61">
        <v>21.547999999999998</v>
      </c>
      <c r="AT21" s="61">
        <v>21.547999999999998</v>
      </c>
      <c r="AU21" s="61">
        <v>25.457999999999998</v>
      </c>
      <c r="AV21" s="61">
        <v>25.02</v>
      </c>
      <c r="AW21" s="45"/>
    </row>
    <row r="22" spans="1:49" x14ac:dyDescent="0.25">
      <c r="A22" s="4">
        <v>2023</v>
      </c>
      <c r="B22" s="62" t="s">
        <v>173</v>
      </c>
      <c r="C22" s="38" t="s">
        <v>173</v>
      </c>
      <c r="D22" s="38" t="s">
        <v>173</v>
      </c>
      <c r="E22" s="38" t="s">
        <v>173</v>
      </c>
      <c r="F22" s="38" t="s">
        <v>173</v>
      </c>
      <c r="G22" s="63" t="s">
        <v>173</v>
      </c>
      <c r="H22" s="45"/>
      <c r="I22" s="45"/>
      <c r="J22" s="45"/>
      <c r="K22" s="45"/>
      <c r="L22" s="45"/>
      <c r="M22" s="4">
        <v>2023</v>
      </c>
      <c r="N22" s="62" t="s">
        <v>173</v>
      </c>
      <c r="O22" s="38" t="s">
        <v>173</v>
      </c>
      <c r="P22" s="38" t="s">
        <v>173</v>
      </c>
      <c r="Q22" s="38" t="s">
        <v>173</v>
      </c>
      <c r="R22" s="38" t="s">
        <v>173</v>
      </c>
      <c r="S22" s="63" t="s">
        <v>173</v>
      </c>
      <c r="T22" s="45"/>
      <c r="U22" s="45"/>
      <c r="V22" s="45"/>
      <c r="W22" s="45"/>
      <c r="X22" s="45"/>
      <c r="Y22" s="45"/>
      <c r="Z22" s="45"/>
      <c r="AA22" s="45"/>
      <c r="AB22" s="59" t="s">
        <v>173</v>
      </c>
      <c r="AC22" s="59" t="s">
        <v>173</v>
      </c>
      <c r="AD22" s="59" t="s">
        <v>173</v>
      </c>
      <c r="AE22" s="59" t="s">
        <v>173</v>
      </c>
      <c r="AF22" s="59" t="s">
        <v>173</v>
      </c>
      <c r="AG22" s="59" t="s">
        <v>173</v>
      </c>
      <c r="AH22" s="59" t="s">
        <v>173</v>
      </c>
      <c r="AI22" s="59" t="s">
        <v>173</v>
      </c>
      <c r="AJ22" s="59" t="s">
        <v>173</v>
      </c>
      <c r="AK22" s="45"/>
      <c r="AL22" s="45"/>
      <c r="AM22" s="54">
        <v>2045</v>
      </c>
      <c r="AN22" s="55">
        <v>19.497</v>
      </c>
      <c r="AO22" s="55">
        <v>27.234999999999999</v>
      </c>
      <c r="AP22" s="55">
        <v>27.234999999999999</v>
      </c>
      <c r="AQ22" s="55">
        <v>27.234999999999999</v>
      </c>
      <c r="AR22" s="55">
        <v>23.164000000000001</v>
      </c>
      <c r="AS22" s="55">
        <v>23.164000000000001</v>
      </c>
      <c r="AT22" s="55">
        <v>23.164000000000001</v>
      </c>
      <c r="AU22" s="55">
        <v>27.367000000000001</v>
      </c>
      <c r="AV22" s="55">
        <v>26.896000000000001</v>
      </c>
      <c r="AW22" s="45"/>
    </row>
    <row r="23" spans="1:49" x14ac:dyDescent="0.25">
      <c r="A23" s="4">
        <v>2024</v>
      </c>
      <c r="B23" s="62" t="s">
        <v>173</v>
      </c>
      <c r="C23" s="38" t="s">
        <v>173</v>
      </c>
      <c r="D23" s="38" t="s">
        <v>173</v>
      </c>
      <c r="E23" s="38" t="s">
        <v>173</v>
      </c>
      <c r="F23" s="38" t="s">
        <v>173</v>
      </c>
      <c r="G23" s="63" t="s">
        <v>173</v>
      </c>
      <c r="H23" s="45"/>
      <c r="I23" s="45"/>
      <c r="J23" s="45"/>
      <c r="K23" s="45"/>
      <c r="L23" s="45"/>
      <c r="M23" s="4">
        <v>2024</v>
      </c>
      <c r="N23" s="62" t="s">
        <v>173</v>
      </c>
      <c r="O23" s="38" t="s">
        <v>173</v>
      </c>
      <c r="P23" s="38" t="s">
        <v>173</v>
      </c>
      <c r="Q23" s="38" t="s">
        <v>173</v>
      </c>
      <c r="R23" s="38" t="s">
        <v>173</v>
      </c>
      <c r="S23" s="63" t="s">
        <v>173</v>
      </c>
      <c r="T23" s="45"/>
      <c r="U23" s="45"/>
      <c r="V23" s="45"/>
      <c r="W23" s="45"/>
      <c r="X23" s="45"/>
      <c r="Y23" s="45"/>
      <c r="Z23" s="45"/>
      <c r="AA23" s="45"/>
      <c r="AB23" s="59" t="s">
        <v>173</v>
      </c>
      <c r="AC23" s="59" t="s">
        <v>173</v>
      </c>
      <c r="AD23" s="59" t="s">
        <v>173</v>
      </c>
      <c r="AE23" s="59" t="s">
        <v>173</v>
      </c>
      <c r="AF23" s="59" t="s">
        <v>173</v>
      </c>
      <c r="AG23" s="59" t="s">
        <v>173</v>
      </c>
      <c r="AH23" s="59" t="s">
        <v>173</v>
      </c>
      <c r="AI23" s="59" t="s">
        <v>173</v>
      </c>
      <c r="AJ23" s="59" t="s">
        <v>173</v>
      </c>
      <c r="AK23" s="45"/>
      <c r="AL23" s="45"/>
      <c r="AM23" s="64">
        <v>2050</v>
      </c>
      <c r="AN23" s="65">
        <v>20.923999999999999</v>
      </c>
      <c r="AO23" s="65">
        <v>29.23</v>
      </c>
      <c r="AP23" s="65">
        <v>29.23</v>
      </c>
      <c r="AQ23" s="65">
        <v>29.23</v>
      </c>
      <c r="AR23" s="65">
        <v>24.86</v>
      </c>
      <c r="AS23" s="65">
        <v>24.86</v>
      </c>
      <c r="AT23" s="65">
        <v>24.86</v>
      </c>
      <c r="AU23" s="65">
        <v>29.370999999999999</v>
      </c>
      <c r="AV23" s="65">
        <v>28.866</v>
      </c>
      <c r="AW23" s="45"/>
    </row>
    <row r="24" spans="1:49" x14ac:dyDescent="0.25">
      <c r="A24" s="4">
        <v>2025</v>
      </c>
      <c r="B24" s="62">
        <v>7.456699E-2</v>
      </c>
      <c r="C24" s="38" t="s">
        <v>173</v>
      </c>
      <c r="D24" s="38" t="s">
        <v>173</v>
      </c>
      <c r="E24" s="38" t="s">
        <v>173</v>
      </c>
      <c r="F24" s="38" t="s">
        <v>173</v>
      </c>
      <c r="G24" s="63" t="s">
        <v>173</v>
      </c>
      <c r="H24" s="45"/>
      <c r="I24" s="45"/>
      <c r="J24" s="45"/>
      <c r="K24" s="45"/>
      <c r="L24" s="45"/>
      <c r="M24" s="4">
        <v>2025</v>
      </c>
      <c r="N24" s="62" t="s">
        <v>173</v>
      </c>
      <c r="O24" s="38" t="s">
        <v>173</v>
      </c>
      <c r="P24" s="38" t="s">
        <v>173</v>
      </c>
      <c r="Q24" s="38" t="s">
        <v>173</v>
      </c>
      <c r="R24" s="38" t="s">
        <v>173</v>
      </c>
      <c r="S24" s="63" t="s">
        <v>173</v>
      </c>
      <c r="T24" s="45"/>
      <c r="U24" s="45"/>
      <c r="V24" s="45"/>
      <c r="W24" s="45"/>
      <c r="X24" s="45"/>
      <c r="Y24" s="45"/>
      <c r="Z24" s="45"/>
      <c r="AA24" s="45"/>
      <c r="AB24" s="59" t="s">
        <v>173</v>
      </c>
      <c r="AC24" s="59" t="s">
        <v>173</v>
      </c>
      <c r="AD24" s="59" t="s">
        <v>173</v>
      </c>
      <c r="AE24" s="59" t="s">
        <v>173</v>
      </c>
      <c r="AF24" s="59" t="s">
        <v>173</v>
      </c>
      <c r="AG24" s="59" t="s">
        <v>173</v>
      </c>
      <c r="AH24" s="59" t="s">
        <v>173</v>
      </c>
      <c r="AI24" s="59" t="s">
        <v>173</v>
      </c>
      <c r="AJ24" s="59" t="s">
        <v>173</v>
      </c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</row>
    <row r="25" spans="1:49" x14ac:dyDescent="0.25">
      <c r="A25" s="37">
        <v>2026</v>
      </c>
      <c r="B25" s="62">
        <v>7.7749014000000005E-2</v>
      </c>
      <c r="C25" s="62">
        <v>7.5741179000000006E-2</v>
      </c>
      <c r="D25" s="62">
        <v>8.4995874999999999E-2</v>
      </c>
      <c r="E25" s="62">
        <v>8.2280850000000003E-2</v>
      </c>
      <c r="F25" s="62">
        <v>5.2068030000000001E-2</v>
      </c>
      <c r="G25" s="62">
        <v>5.2068030000000001E-2</v>
      </c>
      <c r="H25" s="45"/>
      <c r="I25" s="45" t="s">
        <v>266</v>
      </c>
      <c r="J25" s="45"/>
      <c r="K25" s="45"/>
      <c r="L25" s="45"/>
      <c r="M25" s="37">
        <v>2026</v>
      </c>
      <c r="N25" s="62">
        <v>275.04950000000002</v>
      </c>
      <c r="O25" s="62">
        <v>275.04950000000002</v>
      </c>
      <c r="P25" s="62">
        <v>275.04950000000002</v>
      </c>
      <c r="Q25" s="62">
        <v>275.04950000000002</v>
      </c>
      <c r="R25" s="62">
        <v>275.04950000000002</v>
      </c>
      <c r="S25" s="62">
        <v>275.04950000000002</v>
      </c>
      <c r="T25" s="45"/>
      <c r="U25" s="45"/>
      <c r="V25" s="45"/>
      <c r="W25" s="45"/>
      <c r="X25" s="45"/>
      <c r="Y25" s="45"/>
      <c r="Z25" s="45"/>
      <c r="AA25" s="37">
        <v>2026</v>
      </c>
      <c r="AB25" s="59">
        <v>14.594126470000001</v>
      </c>
      <c r="AC25" s="59">
        <v>20.342661020000001</v>
      </c>
      <c r="AD25" s="59">
        <v>20.342661</v>
      </c>
      <c r="AE25" s="59">
        <v>20.342661</v>
      </c>
      <c r="AF25" s="59">
        <v>17.292362069999999</v>
      </c>
      <c r="AG25" s="59">
        <v>17.292362000000001</v>
      </c>
      <c r="AH25" s="59">
        <v>17.292362000000001</v>
      </c>
      <c r="AI25" s="59">
        <v>20.441366670000001</v>
      </c>
      <c r="AJ25" s="59">
        <v>20.08863036</v>
      </c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</row>
    <row r="26" spans="1:49" x14ac:dyDescent="0.25">
      <c r="A26" s="4">
        <v>2027</v>
      </c>
      <c r="B26" s="62">
        <v>8.0499328999999994E-2</v>
      </c>
      <c r="C26" s="62">
        <v>7.9677276000000005E-2</v>
      </c>
      <c r="D26" s="62">
        <v>8.9508689000000002E-2</v>
      </c>
      <c r="E26" s="62">
        <v>8.6465298999999995E-2</v>
      </c>
      <c r="F26" s="62">
        <v>5.4188785000000003E-2</v>
      </c>
      <c r="G26" s="62">
        <v>5.4188785000000003E-2</v>
      </c>
      <c r="H26" s="45"/>
      <c r="I26" s="45" t="s">
        <v>267</v>
      </c>
      <c r="J26" s="45"/>
      <c r="K26" s="45"/>
      <c r="L26" s="45"/>
      <c r="M26" s="4">
        <v>2027</v>
      </c>
      <c r="N26" s="62">
        <v>280.16669999999999</v>
      </c>
      <c r="O26" s="62">
        <v>280.16669999999999</v>
      </c>
      <c r="P26" s="62">
        <v>280.16669999999999</v>
      </c>
      <c r="Q26" s="62">
        <v>280.16669999999999</v>
      </c>
      <c r="R26" s="62">
        <v>280.16669999999999</v>
      </c>
      <c r="S26" s="62">
        <v>280.16669999999999</v>
      </c>
      <c r="T26" s="45"/>
      <c r="U26" s="47" t="s">
        <v>268</v>
      </c>
      <c r="V26" s="48"/>
      <c r="W26" s="48"/>
      <c r="X26" s="48"/>
      <c r="Y26" s="48"/>
      <c r="Z26" s="48"/>
      <c r="AA26" s="4">
        <v>2027</v>
      </c>
      <c r="AB26" s="59">
        <v>14.8656451</v>
      </c>
      <c r="AC26" s="59">
        <v>20.721129130000001</v>
      </c>
      <c r="AD26" s="59">
        <v>20.721129000000001</v>
      </c>
      <c r="AE26" s="59">
        <v>20.721129000000001</v>
      </c>
      <c r="AF26" s="59">
        <v>17.614080430000001</v>
      </c>
      <c r="AG26" s="59">
        <v>17.614080000000001</v>
      </c>
      <c r="AH26" s="59">
        <v>17.614080000000001</v>
      </c>
      <c r="AI26" s="59">
        <v>20.821671169999998</v>
      </c>
      <c r="AJ26" s="59">
        <v>20.46237232</v>
      </c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</row>
    <row r="27" spans="1:49" x14ac:dyDescent="0.25">
      <c r="A27" s="4">
        <v>2028</v>
      </c>
      <c r="B27" s="62">
        <v>8.3297273000000005E-2</v>
      </c>
      <c r="C27" s="62">
        <v>8.3705682000000003E-2</v>
      </c>
      <c r="D27" s="62">
        <v>9.4128589999999998E-2</v>
      </c>
      <c r="E27" s="62">
        <v>9.0746683999999994E-2</v>
      </c>
      <c r="F27" s="62">
        <v>5.6351623000000003E-2</v>
      </c>
      <c r="G27" s="62">
        <v>5.6351623000000003E-2</v>
      </c>
      <c r="H27" s="45"/>
      <c r="I27" s="45"/>
      <c r="J27" s="45"/>
      <c r="K27" s="45"/>
      <c r="L27" s="45"/>
      <c r="M27" s="4">
        <v>2028</v>
      </c>
      <c r="N27" s="62">
        <v>285.28390000000002</v>
      </c>
      <c r="O27" s="62">
        <v>285.28390000000002</v>
      </c>
      <c r="P27" s="62">
        <v>285.28390000000002</v>
      </c>
      <c r="Q27" s="62">
        <v>285.28390000000002</v>
      </c>
      <c r="R27" s="62">
        <v>285.28390000000002</v>
      </c>
      <c r="S27" s="62">
        <v>285.28390000000002</v>
      </c>
      <c r="T27" s="45"/>
      <c r="U27" s="45"/>
      <c r="V27" s="45"/>
      <c r="W27" s="45"/>
      <c r="X27" s="45"/>
      <c r="Y27" s="45"/>
      <c r="Z27" s="45"/>
      <c r="AA27" s="4">
        <v>2028</v>
      </c>
      <c r="AB27" s="59">
        <v>15.137163729999999</v>
      </c>
      <c r="AC27" s="59">
        <v>21.099597240000001</v>
      </c>
      <c r="AD27" s="59">
        <v>21.099596999999999</v>
      </c>
      <c r="AE27" s="59">
        <v>21.099596999999999</v>
      </c>
      <c r="AF27" s="59">
        <v>17.93579879</v>
      </c>
      <c r="AG27" s="59">
        <v>17.935798999999999</v>
      </c>
      <c r="AH27" s="59">
        <v>17.935798999999999</v>
      </c>
      <c r="AI27" s="59">
        <v>21.201975669999999</v>
      </c>
      <c r="AJ27" s="59">
        <v>20.83611428</v>
      </c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</row>
    <row r="28" spans="1:49" x14ac:dyDescent="0.25">
      <c r="A28" s="4">
        <v>2029</v>
      </c>
      <c r="B28" s="62">
        <v>8.5763360999999996E-2</v>
      </c>
      <c r="C28" s="62">
        <v>8.7439496000000005E-2</v>
      </c>
      <c r="D28" s="62">
        <v>9.8420090000000002E-2</v>
      </c>
      <c r="E28" s="62">
        <v>9.4705952999999996E-2</v>
      </c>
      <c r="F28" s="62">
        <v>5.8298586999999999E-2</v>
      </c>
      <c r="G28" s="62">
        <v>5.8298586999999999E-2</v>
      </c>
      <c r="H28" s="45"/>
      <c r="I28" s="45"/>
      <c r="J28" s="45"/>
      <c r="K28" s="45"/>
      <c r="L28" s="45"/>
      <c r="M28" s="4">
        <v>2029</v>
      </c>
      <c r="N28" s="62">
        <v>289.12180000000001</v>
      </c>
      <c r="O28" s="62">
        <v>289.12180000000001</v>
      </c>
      <c r="P28" s="62">
        <v>289.12180000000001</v>
      </c>
      <c r="Q28" s="62">
        <v>289.12180000000001</v>
      </c>
      <c r="R28" s="62">
        <v>289.12180000000001</v>
      </c>
      <c r="S28" s="62">
        <v>289.12180000000001</v>
      </c>
      <c r="T28" s="45"/>
      <c r="U28" s="45"/>
      <c r="V28" s="45"/>
      <c r="W28" s="45"/>
      <c r="X28" s="45"/>
      <c r="Y28" s="45"/>
      <c r="Z28" s="45"/>
      <c r="AA28" s="4">
        <v>2029</v>
      </c>
      <c r="AB28" s="59">
        <v>15.34080271</v>
      </c>
      <c r="AC28" s="59">
        <v>21.38344833</v>
      </c>
      <c r="AD28" s="59">
        <v>21.383448000000001</v>
      </c>
      <c r="AE28" s="59">
        <v>21.383448000000001</v>
      </c>
      <c r="AF28" s="59">
        <v>18.177087570000001</v>
      </c>
      <c r="AG28" s="59">
        <v>18.177088000000001</v>
      </c>
      <c r="AH28" s="59">
        <v>18.177088000000001</v>
      </c>
      <c r="AI28" s="59">
        <v>21.487204040000002</v>
      </c>
      <c r="AJ28" s="59">
        <v>21.11642075</v>
      </c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</row>
    <row r="29" spans="1:49" x14ac:dyDescent="0.25">
      <c r="A29" s="4">
        <v>2030</v>
      </c>
      <c r="B29" s="62">
        <v>8.8650607000000006E-2</v>
      </c>
      <c r="C29" s="62">
        <v>9.1640980999999996E-2</v>
      </c>
      <c r="D29" s="62">
        <v>0.10324077800000001</v>
      </c>
      <c r="E29" s="62">
        <v>9.9169093999999999E-2</v>
      </c>
      <c r="F29" s="62">
        <v>6.0540333000000002E-2</v>
      </c>
      <c r="G29" s="62">
        <v>6.0540333000000002E-2</v>
      </c>
      <c r="H29" s="45"/>
      <c r="I29" s="45"/>
      <c r="J29" s="45"/>
      <c r="K29" s="45"/>
      <c r="L29" s="45"/>
      <c r="M29" s="4">
        <v>2030</v>
      </c>
      <c r="N29" s="62">
        <v>294.23899999999998</v>
      </c>
      <c r="O29" s="62">
        <v>294.23899999999998</v>
      </c>
      <c r="P29" s="62">
        <v>294.23899999999998</v>
      </c>
      <c r="Q29" s="62">
        <v>294.23899999999998</v>
      </c>
      <c r="R29" s="62">
        <v>294.23899999999998</v>
      </c>
      <c r="S29" s="62">
        <v>294.23899999999998</v>
      </c>
      <c r="T29" s="45"/>
      <c r="U29" s="45"/>
      <c r="V29" s="45"/>
      <c r="W29" s="45"/>
      <c r="X29" s="45"/>
      <c r="Y29" s="45"/>
      <c r="Z29" s="45"/>
      <c r="AA29" s="4">
        <v>2030</v>
      </c>
      <c r="AB29" s="59">
        <v>15.612321339999999</v>
      </c>
      <c r="AC29" s="59">
        <v>21.76191644</v>
      </c>
      <c r="AD29" s="59">
        <v>21.761915999999999</v>
      </c>
      <c r="AE29" s="59">
        <v>21.761915999999999</v>
      </c>
      <c r="AF29" s="59">
        <v>18.49880593</v>
      </c>
      <c r="AG29" s="59">
        <v>18.498805999999998</v>
      </c>
      <c r="AH29" s="59">
        <v>18.498805999999998</v>
      </c>
      <c r="AI29" s="59">
        <v>21.867508529999999</v>
      </c>
      <c r="AJ29" s="59">
        <v>21.49016271</v>
      </c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</row>
    <row r="30" spans="1:49" x14ac:dyDescent="0.25">
      <c r="A30" s="4">
        <v>2031</v>
      </c>
      <c r="B30" s="62">
        <v>7.9481003999999994E-2</v>
      </c>
      <c r="C30" s="62">
        <v>8.2219087999999996E-2</v>
      </c>
      <c r="D30" s="62">
        <v>9.3202197000000001E-2</v>
      </c>
      <c r="E30" s="62">
        <v>8.8827392000000005E-2</v>
      </c>
      <c r="F30" s="62">
        <v>5.2915772999999999E-2</v>
      </c>
      <c r="G30" s="62">
        <v>5.2915772999999999E-2</v>
      </c>
      <c r="H30" s="45"/>
      <c r="I30" s="45"/>
      <c r="J30" s="45"/>
      <c r="K30" s="45"/>
      <c r="L30" s="45"/>
      <c r="M30" s="4">
        <v>2031</v>
      </c>
      <c r="N30" s="62">
        <v>299.3562</v>
      </c>
      <c r="O30" s="62">
        <v>299.3562</v>
      </c>
      <c r="P30" s="62">
        <v>299.3562</v>
      </c>
      <c r="Q30" s="62">
        <v>299.3562</v>
      </c>
      <c r="R30" s="62">
        <v>299.3562</v>
      </c>
      <c r="S30" s="62">
        <v>299.3562</v>
      </c>
      <c r="T30" s="45"/>
      <c r="U30" s="45"/>
      <c r="V30" s="45"/>
      <c r="W30" s="45"/>
      <c r="X30" s="45"/>
      <c r="Y30" s="45"/>
      <c r="Z30" s="45"/>
      <c r="AA30" s="4">
        <v>2031</v>
      </c>
      <c r="AB30" s="59">
        <v>15.88383997</v>
      </c>
      <c r="AC30" s="59">
        <v>22.14038455</v>
      </c>
      <c r="AD30" s="59">
        <v>22.140384999999998</v>
      </c>
      <c r="AE30" s="59">
        <v>22.140384999999998</v>
      </c>
      <c r="AF30" s="59">
        <v>18.820524290000002</v>
      </c>
      <c r="AG30" s="59">
        <v>18.820523999999999</v>
      </c>
      <c r="AH30" s="59">
        <v>18.820523999999999</v>
      </c>
      <c r="AI30" s="59">
        <v>22.24781303</v>
      </c>
      <c r="AJ30" s="59">
        <v>21.86390467</v>
      </c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</row>
    <row r="31" spans="1:49" x14ac:dyDescent="0.25">
      <c r="A31" s="4">
        <v>2032</v>
      </c>
      <c r="B31" s="62">
        <v>6.9651313000000006E-2</v>
      </c>
      <c r="C31" s="62">
        <v>7.2116304000000006E-2</v>
      </c>
      <c r="D31" s="62">
        <v>8.2411304000000005E-2</v>
      </c>
      <c r="E31" s="62">
        <v>7.7745125999999998E-2</v>
      </c>
      <c r="F31" s="62">
        <v>4.4805496E-2</v>
      </c>
      <c r="G31" s="62">
        <v>4.4805496E-2</v>
      </c>
      <c r="H31" s="45"/>
      <c r="I31" s="45"/>
      <c r="J31" s="45"/>
      <c r="K31" s="45"/>
      <c r="L31" s="45"/>
      <c r="M31" s="4">
        <v>2032</v>
      </c>
      <c r="N31" s="62">
        <v>303.19409999999999</v>
      </c>
      <c r="O31" s="62">
        <v>303.19409999999999</v>
      </c>
      <c r="P31" s="62">
        <v>303.19409999999999</v>
      </c>
      <c r="Q31" s="62">
        <v>303.19409999999999</v>
      </c>
      <c r="R31" s="62">
        <v>303.19409999999999</v>
      </c>
      <c r="S31" s="62">
        <v>303.19409999999999</v>
      </c>
      <c r="T31" s="45"/>
      <c r="U31" s="45"/>
      <c r="V31" s="45"/>
      <c r="W31" s="45"/>
      <c r="X31" s="45"/>
      <c r="Y31" s="45"/>
      <c r="Z31" s="45"/>
      <c r="AA31" s="4">
        <v>2032</v>
      </c>
      <c r="AB31" s="59">
        <v>16.087478950000001</v>
      </c>
      <c r="AC31" s="59">
        <v>22.424235639999999</v>
      </c>
      <c r="AD31" s="59">
        <v>22.424236000000001</v>
      </c>
      <c r="AE31" s="59">
        <v>22.424236000000001</v>
      </c>
      <c r="AF31" s="59">
        <v>19.061813069999999</v>
      </c>
      <c r="AG31" s="59">
        <v>19.061813000000001</v>
      </c>
      <c r="AH31" s="59">
        <v>19.061813000000001</v>
      </c>
      <c r="AI31" s="59">
        <v>22.533041399999998</v>
      </c>
      <c r="AJ31" s="59">
        <v>22.144211139999999</v>
      </c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</row>
    <row r="32" spans="1:49" x14ac:dyDescent="0.25">
      <c r="A32" s="4">
        <v>2033</v>
      </c>
      <c r="B32" s="62">
        <v>5.9795083999999998E-2</v>
      </c>
      <c r="C32" s="62">
        <v>6.1988279E-2</v>
      </c>
      <c r="D32" s="62">
        <v>7.1614127999999999E-2</v>
      </c>
      <c r="E32" s="62">
        <v>6.6629938E-2</v>
      </c>
      <c r="F32" s="62">
        <v>3.6624690000000001E-2</v>
      </c>
      <c r="G32" s="62">
        <v>3.6624690000000001E-2</v>
      </c>
      <c r="H32" s="45"/>
      <c r="I32" s="45"/>
      <c r="J32" s="45"/>
      <c r="K32" s="45"/>
      <c r="L32" s="45"/>
      <c r="M32" s="4">
        <v>2033</v>
      </c>
      <c r="N32" s="62">
        <v>308.31130000000002</v>
      </c>
      <c r="O32" s="62">
        <v>308.31130000000002</v>
      </c>
      <c r="P32" s="62">
        <v>308.31130000000002</v>
      </c>
      <c r="Q32" s="62">
        <v>308.31130000000002</v>
      </c>
      <c r="R32" s="62">
        <v>308.31130000000002</v>
      </c>
      <c r="S32" s="62">
        <v>308.31130000000002</v>
      </c>
      <c r="T32" s="45"/>
      <c r="U32" s="45"/>
      <c r="V32" s="45"/>
      <c r="W32" s="45"/>
      <c r="X32" s="45"/>
      <c r="Y32" s="45"/>
      <c r="Z32" s="45"/>
      <c r="AA32" s="4">
        <v>2033</v>
      </c>
      <c r="AB32" s="59">
        <v>16.35899758</v>
      </c>
      <c r="AC32" s="59">
        <v>22.802703749999999</v>
      </c>
      <c r="AD32" s="59">
        <v>22.802703999999999</v>
      </c>
      <c r="AE32" s="59">
        <v>22.802703999999999</v>
      </c>
      <c r="AF32" s="59">
        <v>19.383531430000001</v>
      </c>
      <c r="AG32" s="59">
        <v>19.383531000000001</v>
      </c>
      <c r="AH32" s="59">
        <v>19.383531000000001</v>
      </c>
      <c r="AI32" s="59">
        <v>22.913345899999999</v>
      </c>
      <c r="AJ32" s="59">
        <v>22.5179531</v>
      </c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</row>
    <row r="33" spans="1:49" x14ac:dyDescent="0.25">
      <c r="A33" s="4">
        <v>2034</v>
      </c>
      <c r="B33" s="62">
        <v>4.9572655E-2</v>
      </c>
      <c r="C33" s="62">
        <v>5.1483650999999998E-2</v>
      </c>
      <c r="D33" s="62">
        <v>6.0412369E-2</v>
      </c>
      <c r="E33" s="62">
        <v>5.5102223999999998E-2</v>
      </c>
      <c r="F33" s="62">
        <v>2.8147220000000001E-2</v>
      </c>
      <c r="G33" s="62">
        <v>2.8147220000000001E-2</v>
      </c>
      <c r="H33" s="45"/>
      <c r="I33" s="45"/>
      <c r="J33" s="45"/>
      <c r="K33" s="45"/>
      <c r="L33" s="45"/>
      <c r="M33" s="4">
        <v>2034</v>
      </c>
      <c r="N33" s="62">
        <v>313.42849999999999</v>
      </c>
      <c r="O33" s="62">
        <v>313.42849999999999</v>
      </c>
      <c r="P33" s="62">
        <v>313.42849999999999</v>
      </c>
      <c r="Q33" s="62">
        <v>313.42849999999999</v>
      </c>
      <c r="R33" s="62">
        <v>313.42849999999999</v>
      </c>
      <c r="S33" s="62">
        <v>313.42849999999999</v>
      </c>
      <c r="T33" s="45"/>
      <c r="U33" s="45"/>
      <c r="V33" s="45"/>
      <c r="W33" s="45"/>
      <c r="X33" s="45"/>
      <c r="Y33" s="45"/>
      <c r="Z33" s="45"/>
      <c r="AA33" s="4">
        <v>2034</v>
      </c>
      <c r="AB33" s="59">
        <v>16.63051621</v>
      </c>
      <c r="AC33" s="59">
        <v>23.181171859999999</v>
      </c>
      <c r="AD33" s="59">
        <v>23.181172</v>
      </c>
      <c r="AE33" s="59">
        <v>23.181172</v>
      </c>
      <c r="AF33" s="59">
        <v>19.705249800000001</v>
      </c>
      <c r="AG33" s="59">
        <v>19.705249999999999</v>
      </c>
      <c r="AH33" s="59">
        <v>19.705249999999999</v>
      </c>
      <c r="AI33" s="59">
        <v>23.293650400000001</v>
      </c>
      <c r="AJ33" s="59">
        <v>22.89169506</v>
      </c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</row>
    <row r="34" spans="1:49" x14ac:dyDescent="0.25">
      <c r="A34" s="4">
        <v>2035</v>
      </c>
      <c r="B34" s="62">
        <v>3.8827463999999999E-2</v>
      </c>
      <c r="C34" s="62">
        <v>4.0439358000000002E-2</v>
      </c>
      <c r="D34" s="62">
        <v>4.8610016999999998E-2</v>
      </c>
      <c r="E34" s="62">
        <v>4.2988643E-2</v>
      </c>
      <c r="F34" s="62">
        <v>1.9295282E-2</v>
      </c>
      <c r="G34" s="62">
        <v>1.9295282E-2</v>
      </c>
      <c r="H34" s="45"/>
      <c r="I34" s="45"/>
      <c r="J34" s="45"/>
      <c r="K34" s="45"/>
      <c r="L34" s="45"/>
      <c r="M34" s="4">
        <v>2035</v>
      </c>
      <c r="N34" s="62">
        <v>317.26639999999998</v>
      </c>
      <c r="O34" s="62">
        <v>317.26639999999998</v>
      </c>
      <c r="P34" s="62">
        <v>317.26639999999998</v>
      </c>
      <c r="Q34" s="62">
        <v>317.26639999999998</v>
      </c>
      <c r="R34" s="62">
        <v>317.26639999999998</v>
      </c>
      <c r="S34" s="62">
        <v>317.26639999999998</v>
      </c>
      <c r="T34" s="45"/>
      <c r="U34" s="45"/>
      <c r="V34" s="45"/>
      <c r="W34" s="45"/>
      <c r="X34" s="45"/>
      <c r="Y34" s="45"/>
      <c r="Z34" s="45"/>
      <c r="AA34" s="4">
        <v>2035</v>
      </c>
      <c r="AB34" s="59">
        <v>16.83415518</v>
      </c>
      <c r="AC34" s="59">
        <v>23.465022940000001</v>
      </c>
      <c r="AD34" s="59">
        <v>23.465022999999999</v>
      </c>
      <c r="AE34" s="59">
        <v>23.465022999999999</v>
      </c>
      <c r="AF34" s="59">
        <v>19.946538570000001</v>
      </c>
      <c r="AG34" s="59">
        <v>19.946539000000001</v>
      </c>
      <c r="AH34" s="59">
        <v>19.946539000000001</v>
      </c>
      <c r="AI34" s="59">
        <v>23.578878769999999</v>
      </c>
      <c r="AJ34" s="59">
        <v>23.172001529999999</v>
      </c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</row>
    <row r="35" spans="1:49" x14ac:dyDescent="0.25">
      <c r="A35" s="4">
        <v>2036</v>
      </c>
      <c r="B35" s="62">
        <v>3.7995779E-2</v>
      </c>
      <c r="C35" s="62">
        <v>3.8956439000000002E-2</v>
      </c>
      <c r="D35" s="62">
        <v>4.5610629E-2</v>
      </c>
      <c r="E35" s="62">
        <v>4.0649780000000003E-2</v>
      </c>
      <c r="F35" s="62">
        <v>1.9013858000000002E-2</v>
      </c>
      <c r="G35" s="62">
        <v>1.9013858000000002E-2</v>
      </c>
      <c r="H35" s="45"/>
      <c r="I35" s="45"/>
      <c r="J35" s="45"/>
      <c r="K35" s="45"/>
      <c r="L35" s="45"/>
      <c r="M35" s="4">
        <v>2036</v>
      </c>
      <c r="N35" s="62">
        <v>322.3836</v>
      </c>
      <c r="O35" s="62">
        <v>322.3836</v>
      </c>
      <c r="P35" s="62">
        <v>322.3836</v>
      </c>
      <c r="Q35" s="62">
        <v>322.3836</v>
      </c>
      <c r="R35" s="62">
        <v>322.3836</v>
      </c>
      <c r="S35" s="62">
        <v>322.3836</v>
      </c>
      <c r="T35" s="45"/>
      <c r="U35" s="45"/>
      <c r="V35" s="45"/>
      <c r="W35" s="45"/>
      <c r="X35" s="45"/>
      <c r="Y35" s="45"/>
      <c r="Z35" s="45"/>
      <c r="AA35" s="4">
        <v>2036</v>
      </c>
      <c r="AB35" s="59">
        <v>17.10567382</v>
      </c>
      <c r="AC35" s="59">
        <v>23.843491060000002</v>
      </c>
      <c r="AD35" s="59">
        <v>23.843491</v>
      </c>
      <c r="AE35" s="59">
        <v>23.843491</v>
      </c>
      <c r="AF35" s="59">
        <v>20.26825693</v>
      </c>
      <c r="AG35" s="59">
        <v>20.268256999999998</v>
      </c>
      <c r="AH35" s="59">
        <v>20.268256999999998</v>
      </c>
      <c r="AI35" s="59">
        <v>23.95918326</v>
      </c>
      <c r="AJ35" s="59">
        <v>23.54574349</v>
      </c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</row>
    <row r="36" spans="1:49" x14ac:dyDescent="0.25">
      <c r="A36" s="4">
        <v>2037</v>
      </c>
      <c r="B36" s="62">
        <v>3.7117811000000001E-2</v>
      </c>
      <c r="C36" s="62">
        <v>3.7405737000000001E-2</v>
      </c>
      <c r="D36" s="62">
        <v>4.2491133E-2</v>
      </c>
      <c r="E36" s="62">
        <v>3.8214655E-2</v>
      </c>
      <c r="F36" s="62">
        <v>1.871362E-2</v>
      </c>
      <c r="G36" s="62">
        <v>1.871362E-2</v>
      </c>
      <c r="H36" s="45"/>
      <c r="I36" s="45"/>
      <c r="J36" s="45"/>
      <c r="K36" s="45"/>
      <c r="L36" s="45"/>
      <c r="M36" s="4">
        <v>2037</v>
      </c>
      <c r="N36" s="62">
        <v>327.50080000000003</v>
      </c>
      <c r="O36" s="62">
        <v>327.50080000000003</v>
      </c>
      <c r="P36" s="62">
        <v>327.50080000000003</v>
      </c>
      <c r="Q36" s="62">
        <v>327.50080000000003</v>
      </c>
      <c r="R36" s="62">
        <v>327.50080000000003</v>
      </c>
      <c r="S36" s="62">
        <v>327.50080000000003</v>
      </c>
      <c r="T36" s="45"/>
      <c r="U36" s="45"/>
      <c r="V36" s="45"/>
      <c r="W36" s="45"/>
      <c r="X36" s="45"/>
      <c r="Y36" s="45"/>
      <c r="Z36" s="45"/>
      <c r="AA36" s="4">
        <v>2037</v>
      </c>
      <c r="AB36" s="59">
        <v>17.377192449999999</v>
      </c>
      <c r="AC36" s="59">
        <v>24.221959170000002</v>
      </c>
      <c r="AD36" s="59">
        <v>24.221958999999998</v>
      </c>
      <c r="AE36" s="59">
        <v>24.221958999999998</v>
      </c>
      <c r="AF36" s="59">
        <v>20.589975299999999</v>
      </c>
      <c r="AG36" s="59">
        <v>20.589974999999999</v>
      </c>
      <c r="AH36" s="59">
        <v>20.589974999999999</v>
      </c>
      <c r="AI36" s="59">
        <v>24.339487760000001</v>
      </c>
      <c r="AJ36" s="59">
        <v>23.91948545</v>
      </c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</row>
    <row r="37" spans="1:49" x14ac:dyDescent="0.25">
      <c r="A37" s="4">
        <v>2038</v>
      </c>
      <c r="B37" s="62">
        <v>3.6054353999999997E-2</v>
      </c>
      <c r="C37" s="62">
        <v>3.5649607999999999E-2</v>
      </c>
      <c r="D37" s="62">
        <v>3.9100559999999999E-2</v>
      </c>
      <c r="E37" s="62">
        <v>3.5546025000000002E-2</v>
      </c>
      <c r="F37" s="62">
        <v>1.8323819000000002E-2</v>
      </c>
      <c r="G37" s="62">
        <v>1.8323819000000002E-2</v>
      </c>
      <c r="H37" s="45"/>
      <c r="I37" s="45"/>
      <c r="J37" s="45"/>
      <c r="K37" s="45"/>
      <c r="L37" s="45"/>
      <c r="M37" s="4">
        <v>2038</v>
      </c>
      <c r="N37" s="62">
        <v>331.33870000000002</v>
      </c>
      <c r="O37" s="62">
        <v>331.33870000000002</v>
      </c>
      <c r="P37" s="62">
        <v>331.33870000000002</v>
      </c>
      <c r="Q37" s="62">
        <v>331.33870000000002</v>
      </c>
      <c r="R37" s="62">
        <v>331.33870000000002</v>
      </c>
      <c r="S37" s="62">
        <v>331.33870000000002</v>
      </c>
      <c r="T37" s="45"/>
      <c r="U37" s="45"/>
      <c r="V37" s="45"/>
      <c r="W37" s="45"/>
      <c r="X37" s="45"/>
      <c r="Y37" s="45"/>
      <c r="Z37" s="45"/>
      <c r="AA37" s="4">
        <v>2038</v>
      </c>
      <c r="AB37" s="59">
        <v>17.580831419999999</v>
      </c>
      <c r="AC37" s="59">
        <v>24.50581025</v>
      </c>
      <c r="AD37" s="59">
        <v>24.50581</v>
      </c>
      <c r="AE37" s="59">
        <v>24.50581</v>
      </c>
      <c r="AF37" s="59">
        <v>20.83126407</v>
      </c>
      <c r="AG37" s="59">
        <v>20.831264000000001</v>
      </c>
      <c r="AH37" s="59">
        <v>20.831264000000001</v>
      </c>
      <c r="AI37" s="59">
        <v>24.624716129999999</v>
      </c>
      <c r="AJ37" s="59">
        <v>24.199791919999999</v>
      </c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</row>
    <row r="38" spans="1:49" x14ac:dyDescent="0.25">
      <c r="A38" s="4">
        <v>2039</v>
      </c>
      <c r="B38" s="62">
        <v>3.5089604000000003E-2</v>
      </c>
      <c r="C38" s="62">
        <v>3.3971812999999997E-2</v>
      </c>
      <c r="D38" s="62">
        <v>3.575586E-2</v>
      </c>
      <c r="E38" s="62">
        <v>3.2930411E-2</v>
      </c>
      <c r="F38" s="62">
        <v>1.7988305E-2</v>
      </c>
      <c r="G38" s="62">
        <v>1.7988305E-2</v>
      </c>
      <c r="H38" s="45"/>
      <c r="I38" s="45"/>
      <c r="J38" s="45"/>
      <c r="K38" s="45"/>
      <c r="L38" s="45"/>
      <c r="M38" s="4">
        <v>2039</v>
      </c>
      <c r="N38" s="62">
        <v>336.45589999999999</v>
      </c>
      <c r="O38" s="62">
        <v>336.45589999999999</v>
      </c>
      <c r="P38" s="62">
        <v>336.45589999999999</v>
      </c>
      <c r="Q38" s="62">
        <v>336.45589999999999</v>
      </c>
      <c r="R38" s="62">
        <v>336.45589999999999</v>
      </c>
      <c r="S38" s="62">
        <v>336.45589999999999</v>
      </c>
      <c r="T38" s="45"/>
      <c r="U38" s="45"/>
      <c r="V38" s="45"/>
      <c r="W38" s="45"/>
      <c r="X38" s="45"/>
      <c r="Y38" s="45"/>
      <c r="Z38" s="45"/>
      <c r="AA38" s="4">
        <v>2039</v>
      </c>
      <c r="AB38" s="59">
        <v>17.852350049999998</v>
      </c>
      <c r="AC38" s="59">
        <v>24.88427836</v>
      </c>
      <c r="AD38" s="59">
        <v>24.884277999999998</v>
      </c>
      <c r="AE38" s="59">
        <v>24.884277999999998</v>
      </c>
      <c r="AF38" s="59">
        <v>21.152982430000002</v>
      </c>
      <c r="AG38" s="59">
        <v>21.152982000000002</v>
      </c>
      <c r="AH38" s="59">
        <v>21.152982000000002</v>
      </c>
      <c r="AI38" s="59">
        <v>25.005020630000001</v>
      </c>
      <c r="AJ38" s="59">
        <v>24.573533879999999</v>
      </c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</row>
    <row r="39" spans="1:49" x14ac:dyDescent="0.25">
      <c r="A39" s="4">
        <v>2040</v>
      </c>
      <c r="B39" s="62">
        <v>3.4078570000000002E-2</v>
      </c>
      <c r="C39" s="62">
        <v>3.2226233999999999E-2</v>
      </c>
      <c r="D39" s="62">
        <v>3.2291051000000001E-2</v>
      </c>
      <c r="E39" s="62">
        <v>3.0218535000000001E-2</v>
      </c>
      <c r="F39" s="62">
        <v>1.7633975999999999E-2</v>
      </c>
      <c r="G39" s="62">
        <v>1.7633975999999999E-2</v>
      </c>
      <c r="H39" s="45"/>
      <c r="I39" s="45"/>
      <c r="J39" s="45"/>
      <c r="K39" s="45"/>
      <c r="L39" s="45"/>
      <c r="M39" s="4">
        <v>2040</v>
      </c>
      <c r="N39" s="62">
        <v>341.57310000000001</v>
      </c>
      <c r="O39" s="62">
        <v>341.57310000000001</v>
      </c>
      <c r="P39" s="62">
        <v>341.57310000000001</v>
      </c>
      <c r="Q39" s="62">
        <v>341.57310000000001</v>
      </c>
      <c r="R39" s="62">
        <v>341.57310000000001</v>
      </c>
      <c r="S39" s="62">
        <v>341.57310000000001</v>
      </c>
      <c r="T39" s="45"/>
      <c r="U39" s="45"/>
      <c r="V39" s="45"/>
      <c r="W39" s="45"/>
      <c r="X39" s="45"/>
      <c r="Y39" s="45"/>
      <c r="Z39" s="45"/>
      <c r="AA39" s="4">
        <v>2040</v>
      </c>
      <c r="AB39" s="59">
        <v>18.123868689999998</v>
      </c>
      <c r="AC39" s="59">
        <v>25.262746480000001</v>
      </c>
      <c r="AD39" s="59">
        <v>25.262746</v>
      </c>
      <c r="AE39" s="59">
        <v>25.262746</v>
      </c>
      <c r="AF39" s="59">
        <v>21.474700800000001</v>
      </c>
      <c r="AG39" s="59">
        <v>21.474701</v>
      </c>
      <c r="AH39" s="59">
        <v>21.474701</v>
      </c>
      <c r="AI39" s="59">
        <v>25.385325129999998</v>
      </c>
      <c r="AJ39" s="59">
        <v>24.94727584</v>
      </c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</row>
    <row r="40" spans="1:49" x14ac:dyDescent="0.25">
      <c r="A40" s="4">
        <v>2041</v>
      </c>
      <c r="B40" s="62">
        <v>3.3309866E-2</v>
      </c>
      <c r="C40" s="62">
        <v>3.1288580000000003E-2</v>
      </c>
      <c r="D40" s="62">
        <v>3.2424317000000001E-2</v>
      </c>
      <c r="E40" s="62">
        <v>3.0141569999999999E-2</v>
      </c>
      <c r="F40" s="62">
        <v>1.6932717999999999E-2</v>
      </c>
      <c r="G40" s="62">
        <v>1.6932717999999999E-2</v>
      </c>
      <c r="H40" s="45"/>
      <c r="I40" s="45"/>
      <c r="J40" s="45"/>
      <c r="K40" s="45"/>
      <c r="L40" s="45"/>
      <c r="M40" s="4">
        <v>2041</v>
      </c>
      <c r="N40" s="62">
        <v>346.69029999999998</v>
      </c>
      <c r="O40" s="62">
        <v>346.69029999999998</v>
      </c>
      <c r="P40" s="62">
        <v>346.69029999999998</v>
      </c>
      <c r="Q40" s="62">
        <v>346.69029999999998</v>
      </c>
      <c r="R40" s="62">
        <v>346.69029999999998</v>
      </c>
      <c r="S40" s="62">
        <v>346.69029999999998</v>
      </c>
      <c r="T40" s="45"/>
      <c r="U40" s="45"/>
      <c r="V40" s="45"/>
      <c r="W40" s="45"/>
      <c r="X40" s="45"/>
      <c r="Y40" s="45"/>
      <c r="Z40" s="45"/>
      <c r="AA40" s="4">
        <v>2041</v>
      </c>
      <c r="AB40" s="59">
        <v>18.395387320000001</v>
      </c>
      <c r="AC40" s="59">
        <v>25.641214590000001</v>
      </c>
      <c r="AD40" s="59">
        <v>25.641214999999999</v>
      </c>
      <c r="AE40" s="59">
        <v>25.641214999999999</v>
      </c>
      <c r="AF40" s="59">
        <v>21.796419159999999</v>
      </c>
      <c r="AG40" s="59">
        <v>21.796419</v>
      </c>
      <c r="AH40" s="59">
        <v>21.796419</v>
      </c>
      <c r="AI40" s="59">
        <v>25.765629619999999</v>
      </c>
      <c r="AJ40" s="59">
        <v>25.3210178</v>
      </c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</row>
    <row r="41" spans="1:49" x14ac:dyDescent="0.25">
      <c r="A41" s="4">
        <v>2042</v>
      </c>
      <c r="B41" s="62">
        <v>3.2503398000000003E-2</v>
      </c>
      <c r="C41" s="62">
        <v>3.0308993999999999E-2</v>
      </c>
      <c r="D41" s="62">
        <v>3.2547236E-2</v>
      </c>
      <c r="E41" s="62">
        <v>3.0048968999999998E-2</v>
      </c>
      <c r="F41" s="62">
        <v>1.6202958999999999E-2</v>
      </c>
      <c r="G41" s="62">
        <v>1.6202958999999999E-2</v>
      </c>
      <c r="H41" s="45"/>
      <c r="I41" s="45"/>
      <c r="J41" s="45"/>
      <c r="K41" s="45"/>
      <c r="L41" s="45"/>
      <c r="M41" s="4">
        <v>2042</v>
      </c>
      <c r="N41" s="62">
        <v>351.8075</v>
      </c>
      <c r="O41" s="62">
        <v>351.8075</v>
      </c>
      <c r="P41" s="62">
        <v>351.8075</v>
      </c>
      <c r="Q41" s="62">
        <v>351.8075</v>
      </c>
      <c r="R41" s="62">
        <v>351.8075</v>
      </c>
      <c r="S41" s="62">
        <v>351.8075</v>
      </c>
      <c r="T41" s="45"/>
      <c r="U41" s="45"/>
      <c r="V41" s="45"/>
      <c r="W41" s="45"/>
      <c r="X41" s="45"/>
      <c r="Y41" s="45"/>
      <c r="Z41" s="45"/>
      <c r="AA41" s="4">
        <v>2042</v>
      </c>
      <c r="AB41" s="59">
        <v>18.66690595</v>
      </c>
      <c r="AC41" s="59">
        <v>26.019682700000001</v>
      </c>
      <c r="AD41" s="59">
        <v>26.019683000000001</v>
      </c>
      <c r="AE41" s="59">
        <v>26.019683000000001</v>
      </c>
      <c r="AF41" s="59">
        <v>22.118137529999998</v>
      </c>
      <c r="AG41" s="59">
        <v>22.118137999999998</v>
      </c>
      <c r="AH41" s="59">
        <v>22.118137999999998</v>
      </c>
      <c r="AI41" s="59">
        <v>26.14593412</v>
      </c>
      <c r="AJ41" s="59">
        <v>25.69475976</v>
      </c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</row>
    <row r="42" spans="1:49" x14ac:dyDescent="0.25">
      <c r="A42" s="4">
        <v>2043</v>
      </c>
      <c r="B42" s="62">
        <v>3.1659166000000002E-2</v>
      </c>
      <c r="C42" s="62">
        <v>2.9287476E-2</v>
      </c>
      <c r="D42" s="62">
        <v>3.2659808999999998E-2</v>
      </c>
      <c r="E42" s="62">
        <v>2.9940731000000002E-2</v>
      </c>
      <c r="F42" s="62">
        <v>1.54447E-2</v>
      </c>
      <c r="G42" s="62">
        <v>1.54447E-2</v>
      </c>
      <c r="H42" s="45"/>
      <c r="I42" s="45"/>
      <c r="J42" s="45"/>
      <c r="K42" s="45"/>
      <c r="L42" s="45"/>
      <c r="M42" s="4">
        <v>2043</v>
      </c>
      <c r="N42" s="62">
        <v>356.92469999999997</v>
      </c>
      <c r="O42" s="62">
        <v>356.92469999999997</v>
      </c>
      <c r="P42" s="62">
        <v>356.92469999999997</v>
      </c>
      <c r="Q42" s="62">
        <v>356.92469999999997</v>
      </c>
      <c r="R42" s="62">
        <v>356.92469999999997</v>
      </c>
      <c r="S42" s="62">
        <v>356.92469999999997</v>
      </c>
      <c r="T42" s="45"/>
      <c r="U42" s="45"/>
      <c r="V42" s="45"/>
      <c r="W42" s="45"/>
      <c r="X42" s="45"/>
      <c r="Y42" s="45"/>
      <c r="Z42" s="45"/>
      <c r="AA42" s="4">
        <v>2043</v>
      </c>
      <c r="AB42" s="59">
        <v>18.93842458</v>
      </c>
      <c r="AC42" s="59">
        <v>26.398150810000001</v>
      </c>
      <c r="AD42" s="59">
        <v>26.398150999999999</v>
      </c>
      <c r="AE42" s="59">
        <v>26.398150999999999</v>
      </c>
      <c r="AF42" s="59">
        <v>22.43985589</v>
      </c>
      <c r="AG42" s="59">
        <v>22.439855999999999</v>
      </c>
      <c r="AH42" s="59">
        <v>22.439855999999999</v>
      </c>
      <c r="AI42" s="59">
        <v>26.52623861</v>
      </c>
      <c r="AJ42" s="59">
        <v>26.06850172</v>
      </c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</row>
    <row r="43" spans="1:49" x14ac:dyDescent="0.25">
      <c r="A43" s="4">
        <v>2044</v>
      </c>
      <c r="B43" s="62">
        <v>3.077717E-2</v>
      </c>
      <c r="C43" s="62">
        <v>2.8224025999999999E-2</v>
      </c>
      <c r="D43" s="62">
        <v>3.2762034000000002E-2</v>
      </c>
      <c r="E43" s="62">
        <v>2.9816858000000002E-2</v>
      </c>
      <c r="F43" s="62">
        <v>1.4657942E-2</v>
      </c>
      <c r="G43" s="62">
        <v>1.4657942E-2</v>
      </c>
      <c r="H43" s="45"/>
      <c r="I43" s="45"/>
      <c r="J43" s="45"/>
      <c r="K43" s="45"/>
      <c r="L43" s="45"/>
      <c r="M43" s="4">
        <v>2044</v>
      </c>
      <c r="N43" s="62">
        <v>362.0419</v>
      </c>
      <c r="O43" s="62">
        <v>362.0419</v>
      </c>
      <c r="P43" s="62">
        <v>362.0419</v>
      </c>
      <c r="Q43" s="62">
        <v>362.0419</v>
      </c>
      <c r="R43" s="62">
        <v>362.0419</v>
      </c>
      <c r="S43" s="62">
        <v>362.0419</v>
      </c>
      <c r="T43" s="45"/>
      <c r="U43" s="45"/>
      <c r="V43" s="45"/>
      <c r="W43" s="45"/>
      <c r="X43" s="45"/>
      <c r="Y43" s="45"/>
      <c r="Z43" s="45"/>
      <c r="AA43" s="4">
        <v>2044</v>
      </c>
      <c r="AB43" s="59">
        <v>19.209943209999999</v>
      </c>
      <c r="AC43" s="59">
        <v>26.776618920000001</v>
      </c>
      <c r="AD43" s="59">
        <v>26.776619</v>
      </c>
      <c r="AE43" s="59">
        <v>26.776619</v>
      </c>
      <c r="AF43" s="59">
        <v>22.761574249999999</v>
      </c>
      <c r="AG43" s="59">
        <v>22.761574</v>
      </c>
      <c r="AH43" s="59">
        <v>22.761574</v>
      </c>
      <c r="AI43" s="59">
        <v>26.906543110000001</v>
      </c>
      <c r="AJ43" s="59">
        <v>26.442243680000001</v>
      </c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</row>
    <row r="44" spans="1:49" x14ac:dyDescent="0.25">
      <c r="A44" s="4">
        <v>2045</v>
      </c>
      <c r="B44" s="62">
        <v>2.9857411E-2</v>
      </c>
      <c r="C44" s="62">
        <v>2.7118644000000001E-2</v>
      </c>
      <c r="D44" s="62">
        <v>3.2853913999999998E-2</v>
      </c>
      <c r="E44" s="62">
        <v>2.9677347999999999E-2</v>
      </c>
      <c r="F44" s="62">
        <v>1.3842683E-2</v>
      </c>
      <c r="G44" s="62">
        <v>1.3842683E-2</v>
      </c>
      <c r="H44" s="45"/>
      <c r="I44" s="45"/>
      <c r="J44" s="45"/>
      <c r="K44" s="45"/>
      <c r="L44" s="45"/>
      <c r="M44" s="4">
        <v>2045</v>
      </c>
      <c r="N44" s="62">
        <v>367.15910000000002</v>
      </c>
      <c r="O44" s="62">
        <v>367.15910000000002</v>
      </c>
      <c r="P44" s="62">
        <v>367.15910000000002</v>
      </c>
      <c r="Q44" s="62">
        <v>367.15910000000002</v>
      </c>
      <c r="R44" s="62">
        <v>367.15910000000002</v>
      </c>
      <c r="S44" s="62">
        <v>367.15910000000002</v>
      </c>
      <c r="T44" s="45"/>
      <c r="U44" s="45"/>
      <c r="V44" s="45"/>
      <c r="W44" s="45"/>
      <c r="X44" s="45"/>
      <c r="Y44" s="45"/>
      <c r="Z44" s="45"/>
      <c r="AA44" s="4">
        <v>2045</v>
      </c>
      <c r="AB44" s="59">
        <v>19.481461849999999</v>
      </c>
      <c r="AC44" s="59">
        <v>27.155087040000002</v>
      </c>
      <c r="AD44" s="59">
        <v>27.155087000000002</v>
      </c>
      <c r="AE44" s="59">
        <v>27.155087000000002</v>
      </c>
      <c r="AF44" s="59">
        <v>23.083292620000002</v>
      </c>
      <c r="AG44" s="59">
        <v>23.083293000000001</v>
      </c>
      <c r="AH44" s="59">
        <v>23.083293000000001</v>
      </c>
      <c r="AI44" s="59">
        <v>27.286847609999999</v>
      </c>
      <c r="AJ44" s="59">
        <v>26.815985640000001</v>
      </c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</row>
    <row r="45" spans="1:49" x14ac:dyDescent="0.25">
      <c r="A45" s="4">
        <v>2046</v>
      </c>
      <c r="B45" s="62">
        <v>2.9304678000000001E-2</v>
      </c>
      <c r="C45" s="62">
        <v>2.6854861000000001E-2</v>
      </c>
      <c r="D45" s="62">
        <v>3.2989961999999998E-2</v>
      </c>
      <c r="E45" s="62">
        <v>2.9735147999999999E-2</v>
      </c>
      <c r="F45" s="62">
        <v>1.3906119E-2</v>
      </c>
      <c r="G45" s="62">
        <v>1.3906119E-2</v>
      </c>
      <c r="H45" s="45"/>
      <c r="I45" s="45"/>
      <c r="J45" s="45"/>
      <c r="K45" s="45"/>
      <c r="L45" s="45"/>
      <c r="M45" s="4">
        <v>2046</v>
      </c>
      <c r="N45" s="62">
        <v>372.27629999999999</v>
      </c>
      <c r="O45" s="62">
        <v>372.27629999999999</v>
      </c>
      <c r="P45" s="62">
        <v>372.27629999999999</v>
      </c>
      <c r="Q45" s="62">
        <v>372.27629999999999</v>
      </c>
      <c r="R45" s="62">
        <v>372.27629999999999</v>
      </c>
      <c r="S45" s="62">
        <v>372.27629999999999</v>
      </c>
      <c r="T45" s="45"/>
      <c r="U45" s="45" t="s">
        <v>93</v>
      </c>
      <c r="V45" s="45" t="s">
        <v>269</v>
      </c>
      <c r="W45" s="45"/>
      <c r="X45" s="45"/>
      <c r="Y45" s="45"/>
      <c r="Z45" s="45"/>
      <c r="AA45" s="4">
        <v>2046</v>
      </c>
      <c r="AB45" s="59">
        <v>19.752980480000002</v>
      </c>
      <c r="AC45" s="59">
        <v>27.533555150000002</v>
      </c>
      <c r="AD45" s="59">
        <v>27.533555</v>
      </c>
      <c r="AE45" s="59">
        <v>27.533555</v>
      </c>
      <c r="AF45" s="59">
        <v>23.40501098</v>
      </c>
      <c r="AG45" s="59">
        <v>23.405010999999998</v>
      </c>
      <c r="AH45" s="59">
        <v>23.405010999999998</v>
      </c>
      <c r="AI45" s="59">
        <v>27.667152099999999</v>
      </c>
      <c r="AJ45" s="59">
        <v>27.189727600000001</v>
      </c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</row>
    <row r="46" spans="1:49" x14ac:dyDescent="0.25">
      <c r="A46" s="4">
        <v>2047</v>
      </c>
      <c r="B46" s="62">
        <v>2.8822683000000002E-2</v>
      </c>
      <c r="C46" s="62">
        <v>2.6663514999999999E-2</v>
      </c>
      <c r="D46" s="62">
        <v>3.3229423000000001E-2</v>
      </c>
      <c r="E46" s="62">
        <v>2.9884126E-2</v>
      </c>
      <c r="F46" s="62">
        <v>1.4013337000000001E-2</v>
      </c>
      <c r="G46" s="62">
        <v>1.4013337000000001E-2</v>
      </c>
      <c r="H46" s="45"/>
      <c r="I46" s="45"/>
      <c r="J46" s="45"/>
      <c r="K46" s="45"/>
      <c r="L46" s="45"/>
      <c r="M46" s="4">
        <v>2047</v>
      </c>
      <c r="N46" s="62">
        <v>378.6728</v>
      </c>
      <c r="O46" s="62">
        <v>378.6728</v>
      </c>
      <c r="P46" s="62">
        <v>378.6728</v>
      </c>
      <c r="Q46" s="62">
        <v>378.6728</v>
      </c>
      <c r="R46" s="62">
        <v>378.6728</v>
      </c>
      <c r="S46" s="62">
        <v>378.6728</v>
      </c>
      <c r="T46" s="45"/>
      <c r="U46" s="45"/>
      <c r="V46" s="45"/>
      <c r="W46" s="45"/>
      <c r="X46" s="45"/>
      <c r="Y46" s="45"/>
      <c r="Z46" s="45"/>
      <c r="AA46" s="4">
        <v>2047</v>
      </c>
      <c r="AB46" s="59">
        <v>20.09237877</v>
      </c>
      <c r="AC46" s="59">
        <v>28.00664029</v>
      </c>
      <c r="AD46" s="59">
        <v>28.006640000000001</v>
      </c>
      <c r="AE46" s="59">
        <v>28.006640000000001</v>
      </c>
      <c r="AF46" s="59">
        <v>23.807158940000001</v>
      </c>
      <c r="AG46" s="59">
        <v>23.807158999999999</v>
      </c>
      <c r="AH46" s="59">
        <v>23.807158999999999</v>
      </c>
      <c r="AI46" s="59">
        <v>28.142532719999998</v>
      </c>
      <c r="AJ46" s="59">
        <v>27.656905049999999</v>
      </c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</row>
    <row r="47" spans="1:49" x14ac:dyDescent="0.25">
      <c r="A47" s="4">
        <v>2048</v>
      </c>
      <c r="B47" s="62">
        <v>2.8213350000000002E-2</v>
      </c>
      <c r="C47" s="62">
        <v>2.6362242000000001E-2</v>
      </c>
      <c r="D47" s="62">
        <v>3.3346669000000002E-2</v>
      </c>
      <c r="E47" s="62">
        <v>2.9921139999999999E-2</v>
      </c>
      <c r="F47" s="62">
        <v>1.4069208E-2</v>
      </c>
      <c r="G47" s="62">
        <v>1.4069208E-2</v>
      </c>
      <c r="H47" s="45"/>
      <c r="I47" s="45"/>
      <c r="J47" s="45"/>
      <c r="K47" s="45"/>
      <c r="L47" s="45"/>
      <c r="M47" s="4">
        <v>2048</v>
      </c>
      <c r="N47" s="62">
        <v>383.79</v>
      </c>
      <c r="O47" s="62">
        <v>383.79</v>
      </c>
      <c r="P47" s="62">
        <v>383.79</v>
      </c>
      <c r="Q47" s="62">
        <v>383.79</v>
      </c>
      <c r="R47" s="62">
        <v>383.79</v>
      </c>
      <c r="S47" s="62">
        <v>383.79</v>
      </c>
      <c r="T47" s="45"/>
      <c r="U47" s="45"/>
      <c r="V47" s="45"/>
      <c r="W47" s="45"/>
      <c r="X47" s="45"/>
      <c r="Y47" s="45"/>
      <c r="Z47" s="45"/>
      <c r="AA47" s="4">
        <v>2048</v>
      </c>
      <c r="AB47" s="59">
        <v>20.363897399999999</v>
      </c>
      <c r="AC47" s="59">
        <v>28.3851084</v>
      </c>
      <c r="AD47" s="59">
        <v>28.385107999999999</v>
      </c>
      <c r="AE47" s="59">
        <v>28.385107999999999</v>
      </c>
      <c r="AF47" s="59">
        <v>24.128877299999999</v>
      </c>
      <c r="AG47" s="59">
        <v>24.128876999999999</v>
      </c>
      <c r="AH47" s="59">
        <v>24.128876999999999</v>
      </c>
      <c r="AI47" s="59">
        <v>28.52283722</v>
      </c>
      <c r="AJ47" s="59">
        <v>28.030647009999999</v>
      </c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</row>
    <row r="48" spans="1:49" x14ac:dyDescent="0.25">
      <c r="A48" s="4">
        <v>2049</v>
      </c>
      <c r="B48" s="62">
        <v>2.7577381000000002E-2</v>
      </c>
      <c r="C48" s="62">
        <v>2.6043325999999999E-2</v>
      </c>
      <c r="D48" s="62">
        <v>3.3455066999999998E-2</v>
      </c>
      <c r="E48" s="62">
        <v>2.9948371000000001E-2</v>
      </c>
      <c r="F48" s="62">
        <v>1.4121519000000001E-2</v>
      </c>
      <c r="G48" s="62">
        <v>1.4121519000000001E-2</v>
      </c>
      <c r="H48" s="45"/>
      <c r="I48" s="45"/>
      <c r="J48" s="45"/>
      <c r="K48" s="45"/>
      <c r="L48" s="45"/>
      <c r="M48" s="4">
        <v>2049</v>
      </c>
      <c r="N48" s="62">
        <v>388.90719999999999</v>
      </c>
      <c r="O48" s="62">
        <v>388.90719999999999</v>
      </c>
      <c r="P48" s="62">
        <v>388.90719999999999</v>
      </c>
      <c r="Q48" s="62">
        <v>388.90719999999999</v>
      </c>
      <c r="R48" s="62">
        <v>388.90719999999999</v>
      </c>
      <c r="S48" s="62">
        <v>388.90719999999999</v>
      </c>
      <c r="T48" s="45"/>
      <c r="U48" s="45"/>
      <c r="V48" s="45"/>
      <c r="W48" s="45"/>
      <c r="X48" s="45"/>
      <c r="Y48" s="45"/>
      <c r="Z48" s="45"/>
      <c r="AA48" s="4">
        <v>2049</v>
      </c>
      <c r="AB48" s="59">
        <v>20.635416029999998</v>
      </c>
      <c r="AC48" s="59">
        <v>28.76357651</v>
      </c>
      <c r="AD48" s="59">
        <v>28.763577000000002</v>
      </c>
      <c r="AE48" s="59">
        <v>28.763577000000002</v>
      </c>
      <c r="AF48" s="59">
        <v>24.450595660000001</v>
      </c>
      <c r="AG48" s="59">
        <v>24.450596000000001</v>
      </c>
      <c r="AH48" s="59">
        <v>24.450596000000001</v>
      </c>
      <c r="AI48" s="59">
        <v>28.903141720000001</v>
      </c>
      <c r="AJ48" s="59">
        <v>28.404388969999999</v>
      </c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</row>
    <row r="49" spans="1:49" x14ac:dyDescent="0.25">
      <c r="A49" s="4">
        <v>2050</v>
      </c>
      <c r="B49" s="62">
        <v>2.6914777000000001E-2</v>
      </c>
      <c r="C49" s="62">
        <v>2.5706768000000001E-2</v>
      </c>
      <c r="D49" s="62">
        <v>3.3554617000000002E-2</v>
      </c>
      <c r="E49" s="62">
        <v>2.9965821E-2</v>
      </c>
      <c r="F49" s="62">
        <v>1.417027E-2</v>
      </c>
      <c r="G49" s="62">
        <v>1.417027E-2</v>
      </c>
      <c r="H49" s="45"/>
      <c r="I49" s="45"/>
      <c r="J49" s="45"/>
      <c r="K49" s="45"/>
      <c r="L49" s="45"/>
      <c r="M49" s="4">
        <v>2050</v>
      </c>
      <c r="N49" s="62">
        <v>394.02440000000001</v>
      </c>
      <c r="O49" s="62">
        <v>394.02440000000001</v>
      </c>
      <c r="P49" s="62">
        <v>394.02440000000001</v>
      </c>
      <c r="Q49" s="62">
        <v>394.02440000000001</v>
      </c>
      <c r="R49" s="62">
        <v>394.02440000000001</v>
      </c>
      <c r="S49" s="62">
        <v>394.02440000000001</v>
      </c>
      <c r="T49" s="45"/>
      <c r="U49" s="45"/>
      <c r="V49" s="45"/>
      <c r="W49" s="45"/>
      <c r="X49" s="45"/>
      <c r="Y49" s="45"/>
      <c r="Z49" s="45"/>
      <c r="AA49" s="4">
        <v>2050</v>
      </c>
      <c r="AB49" s="59">
        <v>20.906934660000001</v>
      </c>
      <c r="AC49" s="59">
        <v>29.14204462</v>
      </c>
      <c r="AD49" s="59">
        <v>29.142045</v>
      </c>
      <c r="AE49" s="59">
        <v>29.142045</v>
      </c>
      <c r="AF49" s="59">
        <v>24.77231403</v>
      </c>
      <c r="AG49" s="59">
        <v>24.772314000000001</v>
      </c>
      <c r="AH49" s="59">
        <v>24.772314000000001</v>
      </c>
      <c r="AI49" s="59">
        <v>29.283446210000001</v>
      </c>
      <c r="AJ49" s="59">
        <v>28.77813093</v>
      </c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</row>
    <row r="50" spans="1:49" x14ac:dyDescent="0.25">
      <c r="A50" s="4">
        <v>2051</v>
      </c>
      <c r="B50" s="66">
        <v>2.6914777000000001E-2</v>
      </c>
      <c r="C50" s="67">
        <v>2.5706768000000001E-2</v>
      </c>
      <c r="D50" s="67">
        <v>3.3554617000000002E-2</v>
      </c>
      <c r="E50" s="67">
        <v>2.9965821E-2</v>
      </c>
      <c r="F50" s="67">
        <v>1.417027E-2</v>
      </c>
      <c r="G50" s="68">
        <v>1.417027E-2</v>
      </c>
      <c r="H50" s="45"/>
      <c r="I50" s="45"/>
      <c r="J50" s="45"/>
      <c r="K50" s="45"/>
      <c r="L50" s="45"/>
      <c r="M50" s="4"/>
      <c r="N50" s="38" t="s">
        <v>173</v>
      </c>
      <c r="O50" s="38" t="s">
        <v>173</v>
      </c>
      <c r="P50" s="38" t="s">
        <v>173</v>
      </c>
      <c r="Q50" s="38" t="s">
        <v>173</v>
      </c>
      <c r="R50" s="38" t="s">
        <v>173</v>
      </c>
      <c r="S50" s="38" t="s">
        <v>173</v>
      </c>
      <c r="T50" s="45"/>
      <c r="U50" s="45"/>
      <c r="V50" s="45"/>
      <c r="W50" s="45"/>
      <c r="X50" s="45"/>
      <c r="Y50" s="45"/>
      <c r="Z50" s="45"/>
      <c r="AA50" s="45"/>
      <c r="AB50" s="69">
        <v>20.906934660000001</v>
      </c>
      <c r="AC50" s="69">
        <v>29.14204462</v>
      </c>
      <c r="AD50" s="69">
        <v>29.142045</v>
      </c>
      <c r="AE50" s="69">
        <v>29.142045</v>
      </c>
      <c r="AF50" s="69">
        <v>24.77231403</v>
      </c>
      <c r="AG50" s="69">
        <v>24.772314000000001</v>
      </c>
      <c r="AH50" s="69">
        <v>24.772314000000001</v>
      </c>
      <c r="AI50" s="69">
        <v>29.283446210000001</v>
      </c>
      <c r="AJ50" s="69">
        <v>28.77813093</v>
      </c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</row>
    <row r="51" spans="1:49" x14ac:dyDescent="0.25">
      <c r="A51" s="4">
        <v>2052</v>
      </c>
      <c r="B51" s="66">
        <v>2.6914777000000001E-2</v>
      </c>
      <c r="C51" s="67">
        <v>2.5706768000000001E-2</v>
      </c>
      <c r="D51" s="67">
        <v>3.3554617000000002E-2</v>
      </c>
      <c r="E51" s="67">
        <v>2.9965821E-2</v>
      </c>
      <c r="F51" s="67">
        <v>1.417027E-2</v>
      </c>
      <c r="G51" s="68">
        <v>1.417027E-2</v>
      </c>
      <c r="H51" s="45"/>
      <c r="I51" s="45"/>
      <c r="J51" s="45"/>
      <c r="K51" s="45"/>
      <c r="L51" s="45"/>
      <c r="M51" s="4"/>
      <c r="N51" s="38" t="s">
        <v>173</v>
      </c>
      <c r="O51" s="38" t="s">
        <v>173</v>
      </c>
      <c r="P51" s="38" t="s">
        <v>173</v>
      </c>
      <c r="Q51" s="38" t="s">
        <v>173</v>
      </c>
      <c r="R51" s="38" t="s">
        <v>173</v>
      </c>
      <c r="S51" s="38" t="s">
        <v>173</v>
      </c>
      <c r="T51" s="45"/>
      <c r="U51" s="45"/>
      <c r="V51" s="45"/>
      <c r="W51" s="45"/>
      <c r="X51" s="45"/>
      <c r="Y51" s="45"/>
      <c r="Z51" s="45"/>
      <c r="AA51" s="45"/>
      <c r="AB51" s="69">
        <v>20.906934660000001</v>
      </c>
      <c r="AC51" s="69">
        <v>29.14204462</v>
      </c>
      <c r="AD51" s="69">
        <v>29.142045</v>
      </c>
      <c r="AE51" s="69">
        <v>29.142045</v>
      </c>
      <c r="AF51" s="69">
        <v>24.77231403</v>
      </c>
      <c r="AG51" s="69">
        <v>24.772314000000001</v>
      </c>
      <c r="AH51" s="69">
        <v>24.772314000000001</v>
      </c>
      <c r="AI51" s="69">
        <v>29.283446210000001</v>
      </c>
      <c r="AJ51" s="69">
        <v>28.77813093</v>
      </c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</row>
    <row r="52" spans="1:49" x14ac:dyDescent="0.25">
      <c r="A52" s="4">
        <v>2053</v>
      </c>
      <c r="B52" s="66">
        <v>2.6914777000000001E-2</v>
      </c>
      <c r="C52" s="67">
        <v>2.5706768000000001E-2</v>
      </c>
      <c r="D52" s="67">
        <v>3.3554617000000002E-2</v>
      </c>
      <c r="E52" s="67">
        <v>2.9965821E-2</v>
      </c>
      <c r="F52" s="67">
        <v>1.417027E-2</v>
      </c>
      <c r="G52" s="68">
        <v>1.417027E-2</v>
      </c>
      <c r="H52" s="45"/>
      <c r="I52" s="45"/>
      <c r="J52" s="45"/>
      <c r="K52" s="45"/>
      <c r="L52" s="45"/>
      <c r="M52" s="4"/>
      <c r="N52" s="38" t="s">
        <v>173</v>
      </c>
      <c r="O52" s="38" t="s">
        <v>173</v>
      </c>
      <c r="P52" s="38" t="s">
        <v>173</v>
      </c>
      <c r="Q52" s="38" t="s">
        <v>173</v>
      </c>
      <c r="R52" s="38" t="s">
        <v>173</v>
      </c>
      <c r="S52" s="38" t="s">
        <v>173</v>
      </c>
      <c r="T52" s="45"/>
      <c r="U52" s="45"/>
      <c r="V52" s="45"/>
      <c r="W52" s="45"/>
      <c r="X52" s="45"/>
      <c r="Y52" s="45"/>
      <c r="Z52" s="45"/>
      <c r="AA52" s="45"/>
      <c r="AB52" s="69">
        <v>20.906934660000001</v>
      </c>
      <c r="AC52" s="69">
        <v>29.14204462</v>
      </c>
      <c r="AD52" s="69">
        <v>29.142045</v>
      </c>
      <c r="AE52" s="69">
        <v>29.142045</v>
      </c>
      <c r="AF52" s="69">
        <v>24.77231403</v>
      </c>
      <c r="AG52" s="69">
        <v>24.772314000000001</v>
      </c>
      <c r="AH52" s="69">
        <v>24.772314000000001</v>
      </c>
      <c r="AI52" s="69">
        <v>29.283446210000001</v>
      </c>
      <c r="AJ52" s="69">
        <v>28.77813093</v>
      </c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</row>
    <row r="53" spans="1:49" x14ac:dyDescent="0.25">
      <c r="A53" s="4">
        <v>2054</v>
      </c>
      <c r="B53" s="66">
        <v>2.6914777000000001E-2</v>
      </c>
      <c r="C53" s="67">
        <v>2.5706768000000001E-2</v>
      </c>
      <c r="D53" s="67">
        <v>3.3554617000000002E-2</v>
      </c>
      <c r="E53" s="67">
        <v>2.9965821E-2</v>
      </c>
      <c r="F53" s="67">
        <v>1.417027E-2</v>
      </c>
      <c r="G53" s="68">
        <v>1.417027E-2</v>
      </c>
      <c r="H53" s="45"/>
      <c r="I53" s="45"/>
      <c r="J53" s="45"/>
      <c r="K53" s="45"/>
      <c r="L53" s="45"/>
      <c r="M53" s="4"/>
      <c r="N53" s="38" t="s">
        <v>173</v>
      </c>
      <c r="O53" s="38" t="s">
        <v>173</v>
      </c>
      <c r="P53" s="38" t="s">
        <v>173</v>
      </c>
      <c r="Q53" s="38" t="s">
        <v>173</v>
      </c>
      <c r="R53" s="38" t="s">
        <v>173</v>
      </c>
      <c r="S53" s="38" t="s">
        <v>173</v>
      </c>
      <c r="T53" s="45"/>
      <c r="U53" s="45"/>
      <c r="V53" s="45"/>
      <c r="W53" s="45"/>
      <c r="X53" s="45"/>
      <c r="Y53" s="45"/>
      <c r="Z53" s="45"/>
      <c r="AA53" s="45"/>
      <c r="AB53" s="69">
        <v>20.906934660000001</v>
      </c>
      <c r="AC53" s="69">
        <v>29.14204462</v>
      </c>
      <c r="AD53" s="69">
        <v>29.142045</v>
      </c>
      <c r="AE53" s="69">
        <v>29.142045</v>
      </c>
      <c r="AF53" s="69">
        <v>24.77231403</v>
      </c>
      <c r="AG53" s="69">
        <v>24.772314000000001</v>
      </c>
      <c r="AH53" s="69">
        <v>24.772314000000001</v>
      </c>
      <c r="AI53" s="69">
        <v>29.283446210000001</v>
      </c>
      <c r="AJ53" s="69">
        <v>28.77813093</v>
      </c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</row>
    <row r="54" spans="1:49" x14ac:dyDescent="0.25">
      <c r="A54" s="4">
        <v>2055</v>
      </c>
      <c r="B54" s="66">
        <v>2.6914777000000001E-2</v>
      </c>
      <c r="C54" s="67">
        <v>2.5706768000000001E-2</v>
      </c>
      <c r="D54" s="67">
        <v>3.3554617000000002E-2</v>
      </c>
      <c r="E54" s="67">
        <v>2.9965821E-2</v>
      </c>
      <c r="F54" s="67">
        <v>1.417027E-2</v>
      </c>
      <c r="G54" s="68">
        <v>1.417027E-2</v>
      </c>
      <c r="H54" s="45"/>
      <c r="I54" s="45"/>
      <c r="J54" s="45"/>
      <c r="K54" s="45"/>
      <c r="L54" s="45"/>
      <c r="M54" s="4"/>
      <c r="N54" s="38" t="s">
        <v>173</v>
      </c>
      <c r="O54" s="38" t="s">
        <v>173</v>
      </c>
      <c r="P54" s="38" t="s">
        <v>173</v>
      </c>
      <c r="Q54" s="38" t="s">
        <v>173</v>
      </c>
      <c r="R54" s="38" t="s">
        <v>173</v>
      </c>
      <c r="S54" s="38" t="s">
        <v>173</v>
      </c>
      <c r="T54" s="45"/>
      <c r="U54" s="45"/>
      <c r="V54" s="45"/>
      <c r="W54" s="45"/>
      <c r="X54" s="45"/>
      <c r="Y54" s="45"/>
      <c r="Z54" s="45"/>
      <c r="AA54" s="45"/>
      <c r="AB54" s="69">
        <v>20.906934660000001</v>
      </c>
      <c r="AC54" s="69">
        <v>29.14204462</v>
      </c>
      <c r="AD54" s="69">
        <v>29.142045</v>
      </c>
      <c r="AE54" s="69">
        <v>29.142045</v>
      </c>
      <c r="AF54" s="69">
        <v>24.77231403</v>
      </c>
      <c r="AG54" s="69">
        <v>24.772314000000001</v>
      </c>
      <c r="AH54" s="69">
        <v>24.772314000000001</v>
      </c>
      <c r="AI54" s="69">
        <v>29.283446210000001</v>
      </c>
      <c r="AJ54" s="69">
        <v>28.77813093</v>
      </c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</row>
    <row r="55" spans="1:49" x14ac:dyDescent="0.25">
      <c r="A55" s="4">
        <v>2056</v>
      </c>
      <c r="B55" s="66">
        <v>2.6914777000000001E-2</v>
      </c>
      <c r="C55" s="67">
        <v>2.5706768000000001E-2</v>
      </c>
      <c r="D55" s="67">
        <v>3.3554617000000002E-2</v>
      </c>
      <c r="E55" s="67">
        <v>2.9965821E-2</v>
      </c>
      <c r="F55" s="67">
        <v>1.417027E-2</v>
      </c>
      <c r="G55" s="68">
        <v>1.417027E-2</v>
      </c>
      <c r="H55" s="45"/>
      <c r="I55" s="45"/>
      <c r="J55" s="45"/>
      <c r="K55" s="45"/>
      <c r="L55" s="45"/>
      <c r="M55" s="4"/>
      <c r="N55" s="38" t="s">
        <v>173</v>
      </c>
      <c r="O55" s="38" t="s">
        <v>173</v>
      </c>
      <c r="P55" s="38" t="s">
        <v>173</v>
      </c>
      <c r="Q55" s="38" t="s">
        <v>173</v>
      </c>
      <c r="R55" s="38" t="s">
        <v>173</v>
      </c>
      <c r="S55" s="38" t="s">
        <v>173</v>
      </c>
      <c r="T55" s="45"/>
      <c r="U55" s="45"/>
      <c r="V55" s="45"/>
      <c r="W55" s="45"/>
      <c r="X55" s="45"/>
      <c r="Y55" s="45"/>
      <c r="Z55" s="45"/>
      <c r="AA55" s="45"/>
      <c r="AB55" s="69">
        <v>20.906934660000001</v>
      </c>
      <c r="AC55" s="69">
        <v>29.14204462</v>
      </c>
      <c r="AD55" s="69">
        <v>29.142045</v>
      </c>
      <c r="AE55" s="69">
        <v>29.142045</v>
      </c>
      <c r="AF55" s="69">
        <v>24.77231403</v>
      </c>
      <c r="AG55" s="69">
        <v>24.772314000000001</v>
      </c>
      <c r="AH55" s="69">
        <v>24.772314000000001</v>
      </c>
      <c r="AI55" s="69">
        <v>29.283446210000001</v>
      </c>
      <c r="AJ55" s="69">
        <v>28.77813093</v>
      </c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</row>
    <row r="56" spans="1:49" x14ac:dyDescent="0.25">
      <c r="A56" s="4">
        <v>2057</v>
      </c>
      <c r="B56" s="66">
        <v>2.6914777000000001E-2</v>
      </c>
      <c r="C56" s="67">
        <v>2.5706768000000001E-2</v>
      </c>
      <c r="D56" s="67">
        <v>3.3554617000000002E-2</v>
      </c>
      <c r="E56" s="67">
        <v>2.9965821E-2</v>
      </c>
      <c r="F56" s="67">
        <v>1.417027E-2</v>
      </c>
      <c r="G56" s="68">
        <v>1.417027E-2</v>
      </c>
      <c r="H56" s="45"/>
      <c r="I56" s="45"/>
      <c r="J56" s="45"/>
      <c r="K56" s="45"/>
      <c r="L56" s="45"/>
      <c r="M56" s="4"/>
      <c r="N56" s="38" t="s">
        <v>173</v>
      </c>
      <c r="O56" s="38" t="s">
        <v>173</v>
      </c>
      <c r="P56" s="38" t="s">
        <v>173</v>
      </c>
      <c r="Q56" s="38" t="s">
        <v>173</v>
      </c>
      <c r="R56" s="38" t="s">
        <v>173</v>
      </c>
      <c r="S56" s="38" t="s">
        <v>173</v>
      </c>
      <c r="T56" s="45"/>
      <c r="U56" s="45"/>
      <c r="V56" s="45"/>
      <c r="W56" s="45"/>
      <c r="X56" s="45"/>
      <c r="Y56" s="45"/>
      <c r="Z56" s="45"/>
      <c r="AA56" s="45"/>
      <c r="AB56" s="69">
        <v>20.906934660000001</v>
      </c>
      <c r="AC56" s="69">
        <v>29.14204462</v>
      </c>
      <c r="AD56" s="69">
        <v>29.142045</v>
      </c>
      <c r="AE56" s="69">
        <v>29.142045</v>
      </c>
      <c r="AF56" s="69">
        <v>24.77231403</v>
      </c>
      <c r="AG56" s="69">
        <v>24.772314000000001</v>
      </c>
      <c r="AH56" s="69">
        <v>24.772314000000001</v>
      </c>
      <c r="AI56" s="69">
        <v>29.283446210000001</v>
      </c>
      <c r="AJ56" s="69">
        <v>28.77813093</v>
      </c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</row>
    <row r="57" spans="1:49" x14ac:dyDescent="0.25">
      <c r="A57" s="4">
        <v>2058</v>
      </c>
      <c r="B57" s="66">
        <v>2.6914777000000001E-2</v>
      </c>
      <c r="C57" s="67">
        <v>2.5706768000000001E-2</v>
      </c>
      <c r="D57" s="67">
        <v>3.3554617000000002E-2</v>
      </c>
      <c r="E57" s="67">
        <v>2.9965821E-2</v>
      </c>
      <c r="F57" s="67">
        <v>1.417027E-2</v>
      </c>
      <c r="G57" s="68">
        <v>1.417027E-2</v>
      </c>
      <c r="H57" s="45"/>
      <c r="I57" s="45"/>
      <c r="J57" s="45"/>
      <c r="K57" s="45"/>
      <c r="L57" s="45"/>
      <c r="M57" s="4"/>
      <c r="N57" s="38" t="s">
        <v>173</v>
      </c>
      <c r="O57" s="38" t="s">
        <v>173</v>
      </c>
      <c r="P57" s="38" t="s">
        <v>173</v>
      </c>
      <c r="Q57" s="38" t="s">
        <v>173</v>
      </c>
      <c r="R57" s="38" t="s">
        <v>173</v>
      </c>
      <c r="S57" s="38" t="s">
        <v>173</v>
      </c>
      <c r="T57" s="45"/>
      <c r="U57" s="45"/>
      <c r="V57" s="45"/>
      <c r="W57" s="45"/>
      <c r="X57" s="45"/>
      <c r="Y57" s="45"/>
      <c r="Z57" s="45"/>
      <c r="AA57" s="45"/>
      <c r="AB57" s="69">
        <v>20.906934660000001</v>
      </c>
      <c r="AC57" s="69">
        <v>29.14204462</v>
      </c>
      <c r="AD57" s="69">
        <v>29.142045</v>
      </c>
      <c r="AE57" s="69">
        <v>29.142045</v>
      </c>
      <c r="AF57" s="69">
        <v>24.77231403</v>
      </c>
      <c r="AG57" s="69">
        <v>24.772314000000001</v>
      </c>
      <c r="AH57" s="69">
        <v>24.772314000000001</v>
      </c>
      <c r="AI57" s="69">
        <v>29.283446210000001</v>
      </c>
      <c r="AJ57" s="69">
        <v>28.77813093</v>
      </c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</row>
    <row r="58" spans="1:49" x14ac:dyDescent="0.25">
      <c r="A58" s="4">
        <v>2059</v>
      </c>
      <c r="B58" s="66">
        <v>2.6914777000000001E-2</v>
      </c>
      <c r="C58" s="67">
        <v>2.5706768000000001E-2</v>
      </c>
      <c r="D58" s="67">
        <v>3.3554617000000002E-2</v>
      </c>
      <c r="E58" s="67">
        <v>2.9965821E-2</v>
      </c>
      <c r="F58" s="67">
        <v>1.417027E-2</v>
      </c>
      <c r="G58" s="68">
        <v>1.417027E-2</v>
      </c>
      <c r="H58" s="45"/>
      <c r="I58" s="45"/>
      <c r="J58" s="45"/>
      <c r="K58" s="45"/>
      <c r="L58" s="45"/>
      <c r="M58" s="4"/>
      <c r="N58" s="38" t="s">
        <v>173</v>
      </c>
      <c r="O58" s="38" t="s">
        <v>173</v>
      </c>
      <c r="P58" s="38" t="s">
        <v>173</v>
      </c>
      <c r="Q58" s="38" t="s">
        <v>173</v>
      </c>
      <c r="R58" s="38" t="s">
        <v>173</v>
      </c>
      <c r="S58" s="38" t="s">
        <v>173</v>
      </c>
      <c r="T58" s="45"/>
      <c r="U58" s="45"/>
      <c r="V58" s="45"/>
      <c r="W58" s="45"/>
      <c r="X58" s="45"/>
      <c r="Y58" s="45"/>
      <c r="Z58" s="45"/>
      <c r="AA58" s="45"/>
      <c r="AB58" s="69">
        <v>20.906934660000001</v>
      </c>
      <c r="AC58" s="69">
        <v>29.14204462</v>
      </c>
      <c r="AD58" s="69">
        <v>29.142045</v>
      </c>
      <c r="AE58" s="69">
        <v>29.142045</v>
      </c>
      <c r="AF58" s="69">
        <v>24.77231403</v>
      </c>
      <c r="AG58" s="69">
        <v>24.772314000000001</v>
      </c>
      <c r="AH58" s="69">
        <v>24.772314000000001</v>
      </c>
      <c r="AI58" s="69">
        <v>29.283446210000001</v>
      </c>
      <c r="AJ58" s="69">
        <v>28.77813093</v>
      </c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</row>
    <row r="59" spans="1:49" x14ac:dyDescent="0.25">
      <c r="A59" s="4">
        <v>2060</v>
      </c>
      <c r="B59" s="66">
        <v>2.6914777000000001E-2</v>
      </c>
      <c r="C59" s="67">
        <v>2.5706768000000001E-2</v>
      </c>
      <c r="D59" s="67">
        <v>3.3554617000000002E-2</v>
      </c>
      <c r="E59" s="67">
        <v>2.9965821E-2</v>
      </c>
      <c r="F59" s="67">
        <v>1.417027E-2</v>
      </c>
      <c r="G59" s="68">
        <v>1.417027E-2</v>
      </c>
      <c r="H59" s="45"/>
      <c r="I59" s="45"/>
      <c r="J59" s="45"/>
      <c r="K59" s="45"/>
      <c r="L59" s="45"/>
      <c r="M59" s="4"/>
      <c r="N59" s="38" t="s">
        <v>173</v>
      </c>
      <c r="O59" s="38" t="s">
        <v>173</v>
      </c>
      <c r="P59" s="38" t="s">
        <v>173</v>
      </c>
      <c r="Q59" s="38" t="s">
        <v>173</v>
      </c>
      <c r="R59" s="38" t="s">
        <v>173</v>
      </c>
      <c r="S59" s="38" t="s">
        <v>173</v>
      </c>
      <c r="T59" s="45"/>
      <c r="U59" s="45"/>
      <c r="V59" s="45"/>
      <c r="W59" s="45"/>
      <c r="X59" s="45"/>
      <c r="Y59" s="45"/>
      <c r="Z59" s="45"/>
      <c r="AA59" s="45"/>
      <c r="AB59" s="69">
        <v>20.906934660000001</v>
      </c>
      <c r="AC59" s="69">
        <v>29.14204462</v>
      </c>
      <c r="AD59" s="69">
        <v>29.142045</v>
      </c>
      <c r="AE59" s="69">
        <v>29.142045</v>
      </c>
      <c r="AF59" s="69">
        <v>24.77231403</v>
      </c>
      <c r="AG59" s="69">
        <v>24.772314000000001</v>
      </c>
      <c r="AH59" s="69">
        <v>24.772314000000001</v>
      </c>
      <c r="AI59" s="69">
        <v>29.283446210000001</v>
      </c>
      <c r="AJ59" s="69">
        <v>28.77813093</v>
      </c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</row>
    <row r="60" spans="1:49" x14ac:dyDescent="0.25">
      <c r="A60" s="4">
        <v>2061</v>
      </c>
      <c r="B60" s="66">
        <v>2.6914777000000001E-2</v>
      </c>
      <c r="C60" s="67">
        <v>2.5706768000000001E-2</v>
      </c>
      <c r="D60" s="67">
        <v>3.3554617000000002E-2</v>
      </c>
      <c r="E60" s="67">
        <v>2.9965821E-2</v>
      </c>
      <c r="F60" s="67">
        <v>1.417027E-2</v>
      </c>
      <c r="G60" s="68">
        <v>1.417027E-2</v>
      </c>
      <c r="H60" s="45"/>
      <c r="I60" s="45"/>
      <c r="J60" s="45"/>
      <c r="K60" s="45"/>
      <c r="L60" s="45"/>
      <c r="M60" s="4"/>
      <c r="N60" s="38" t="s">
        <v>173</v>
      </c>
      <c r="O60" s="38" t="s">
        <v>173</v>
      </c>
      <c r="P60" s="38" t="s">
        <v>173</v>
      </c>
      <c r="Q60" s="38" t="s">
        <v>173</v>
      </c>
      <c r="R60" s="38" t="s">
        <v>173</v>
      </c>
      <c r="S60" s="38" t="s">
        <v>173</v>
      </c>
      <c r="T60" s="45"/>
      <c r="U60" s="45"/>
      <c r="V60" s="45"/>
      <c r="W60" s="45"/>
      <c r="X60" s="45"/>
      <c r="Y60" s="45"/>
      <c r="Z60" s="45"/>
      <c r="AA60" s="45"/>
      <c r="AB60" s="69">
        <v>20.906934660000001</v>
      </c>
      <c r="AC60" s="69">
        <v>29.14204462</v>
      </c>
      <c r="AD60" s="69">
        <v>29.142045</v>
      </c>
      <c r="AE60" s="69">
        <v>29.142045</v>
      </c>
      <c r="AF60" s="69">
        <v>24.77231403</v>
      </c>
      <c r="AG60" s="69">
        <v>24.772314000000001</v>
      </c>
      <c r="AH60" s="69">
        <v>24.772314000000001</v>
      </c>
      <c r="AI60" s="69">
        <v>29.283446210000001</v>
      </c>
      <c r="AJ60" s="69">
        <v>28.77813093</v>
      </c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</row>
    <row r="61" spans="1:49" x14ac:dyDescent="0.25">
      <c r="A61" s="4">
        <v>2062</v>
      </c>
      <c r="B61" s="66">
        <v>2.6914777000000001E-2</v>
      </c>
      <c r="C61" s="67">
        <v>2.5706768000000001E-2</v>
      </c>
      <c r="D61" s="67">
        <v>3.3554617000000002E-2</v>
      </c>
      <c r="E61" s="67">
        <v>2.9965821E-2</v>
      </c>
      <c r="F61" s="67">
        <v>1.417027E-2</v>
      </c>
      <c r="G61" s="68">
        <v>1.417027E-2</v>
      </c>
      <c r="H61" s="45"/>
      <c r="I61" s="45"/>
      <c r="J61" s="45"/>
      <c r="K61" s="45"/>
      <c r="L61" s="45"/>
      <c r="M61" s="4"/>
      <c r="N61" s="38" t="s">
        <v>173</v>
      </c>
      <c r="O61" s="38" t="s">
        <v>173</v>
      </c>
      <c r="P61" s="38" t="s">
        <v>173</v>
      </c>
      <c r="Q61" s="38" t="s">
        <v>173</v>
      </c>
      <c r="R61" s="38" t="s">
        <v>173</v>
      </c>
      <c r="S61" s="38" t="s">
        <v>173</v>
      </c>
      <c r="T61" s="45"/>
      <c r="U61" s="45"/>
      <c r="V61" s="45"/>
      <c r="W61" s="45"/>
      <c r="X61" s="45"/>
      <c r="Y61" s="45"/>
      <c r="Z61" s="45"/>
      <c r="AA61" s="45"/>
      <c r="AB61" s="69">
        <v>20.906934660000001</v>
      </c>
      <c r="AC61" s="69">
        <v>29.14204462</v>
      </c>
      <c r="AD61" s="69">
        <v>29.142045</v>
      </c>
      <c r="AE61" s="69">
        <v>29.142045</v>
      </c>
      <c r="AF61" s="69">
        <v>24.77231403</v>
      </c>
      <c r="AG61" s="69">
        <v>24.772314000000001</v>
      </c>
      <c r="AH61" s="69">
        <v>24.772314000000001</v>
      </c>
      <c r="AI61" s="69">
        <v>29.283446210000001</v>
      </c>
      <c r="AJ61" s="69">
        <v>28.77813093</v>
      </c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</row>
    <row r="62" spans="1:49" x14ac:dyDescent="0.25">
      <c r="A62" s="4">
        <v>2063</v>
      </c>
      <c r="B62" s="66">
        <v>2.6914777000000001E-2</v>
      </c>
      <c r="C62" s="67">
        <v>2.5706768000000001E-2</v>
      </c>
      <c r="D62" s="67">
        <v>3.3554617000000002E-2</v>
      </c>
      <c r="E62" s="67">
        <v>2.9965821E-2</v>
      </c>
      <c r="F62" s="67">
        <v>1.417027E-2</v>
      </c>
      <c r="G62" s="68">
        <v>1.417027E-2</v>
      </c>
      <c r="H62" s="45"/>
      <c r="I62" s="45"/>
      <c r="J62" s="45"/>
      <c r="K62" s="45"/>
      <c r="L62" s="45"/>
      <c r="M62" s="4"/>
      <c r="N62" s="38" t="s">
        <v>173</v>
      </c>
      <c r="O62" s="38" t="s">
        <v>173</v>
      </c>
      <c r="P62" s="38" t="s">
        <v>173</v>
      </c>
      <c r="Q62" s="38" t="s">
        <v>173</v>
      </c>
      <c r="R62" s="38" t="s">
        <v>173</v>
      </c>
      <c r="S62" s="38" t="s">
        <v>173</v>
      </c>
      <c r="T62" s="45"/>
      <c r="U62" s="45"/>
      <c r="V62" s="45"/>
      <c r="W62" s="45"/>
      <c r="X62" s="45"/>
      <c r="Y62" s="45"/>
      <c r="Z62" s="45"/>
      <c r="AA62" s="45"/>
      <c r="AB62" s="69">
        <v>20.906934660000001</v>
      </c>
      <c r="AC62" s="69">
        <v>29.14204462</v>
      </c>
      <c r="AD62" s="69">
        <v>29.142045</v>
      </c>
      <c r="AE62" s="69">
        <v>29.142045</v>
      </c>
      <c r="AF62" s="69">
        <v>24.77231403</v>
      </c>
      <c r="AG62" s="69">
        <v>24.772314000000001</v>
      </c>
      <c r="AH62" s="69">
        <v>24.772314000000001</v>
      </c>
      <c r="AI62" s="69">
        <v>29.283446210000001</v>
      </c>
      <c r="AJ62" s="69">
        <v>28.77813093</v>
      </c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</row>
    <row r="63" spans="1:49" x14ac:dyDescent="0.25">
      <c r="A63" s="4">
        <v>2064</v>
      </c>
      <c r="B63" s="66">
        <v>2.6914777000000001E-2</v>
      </c>
      <c r="C63" s="67">
        <v>2.5706768000000001E-2</v>
      </c>
      <c r="D63" s="67">
        <v>3.3554617000000002E-2</v>
      </c>
      <c r="E63" s="67">
        <v>2.9965821E-2</v>
      </c>
      <c r="F63" s="67">
        <v>1.417027E-2</v>
      </c>
      <c r="G63" s="68">
        <v>1.417027E-2</v>
      </c>
      <c r="H63" s="45"/>
      <c r="I63" s="45"/>
      <c r="J63" s="45"/>
      <c r="K63" s="45"/>
      <c r="L63" s="45"/>
      <c r="M63" s="4"/>
      <c r="N63" s="38" t="s">
        <v>173</v>
      </c>
      <c r="O63" s="38" t="s">
        <v>173</v>
      </c>
      <c r="P63" s="38" t="s">
        <v>173</v>
      </c>
      <c r="Q63" s="38" t="s">
        <v>173</v>
      </c>
      <c r="R63" s="38" t="s">
        <v>173</v>
      </c>
      <c r="S63" s="38" t="s">
        <v>173</v>
      </c>
      <c r="T63" s="45"/>
      <c r="U63" s="45"/>
      <c r="V63" s="45"/>
      <c r="W63" s="45"/>
      <c r="X63" s="45"/>
      <c r="Y63" s="45"/>
      <c r="Z63" s="45"/>
      <c r="AA63" s="45"/>
      <c r="AB63" s="69">
        <v>20.906934660000001</v>
      </c>
      <c r="AC63" s="69">
        <v>29.14204462</v>
      </c>
      <c r="AD63" s="69">
        <v>29.142045</v>
      </c>
      <c r="AE63" s="69">
        <v>29.142045</v>
      </c>
      <c r="AF63" s="69">
        <v>24.77231403</v>
      </c>
      <c r="AG63" s="69">
        <v>24.772314000000001</v>
      </c>
      <c r="AH63" s="69">
        <v>24.772314000000001</v>
      </c>
      <c r="AI63" s="69">
        <v>29.283446210000001</v>
      </c>
      <c r="AJ63" s="69">
        <v>28.77813093</v>
      </c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  <row r="64" spans="1:49" x14ac:dyDescent="0.25">
      <c r="A64" s="4">
        <v>2065</v>
      </c>
      <c r="B64" s="66">
        <v>2.6914777000000001E-2</v>
      </c>
      <c r="C64" s="67">
        <v>2.5706768000000001E-2</v>
      </c>
      <c r="D64" s="67">
        <v>3.3554617000000002E-2</v>
      </c>
      <c r="E64" s="67">
        <v>2.9965821E-2</v>
      </c>
      <c r="F64" s="67">
        <v>1.417027E-2</v>
      </c>
      <c r="G64" s="68">
        <v>1.417027E-2</v>
      </c>
      <c r="H64" s="45"/>
      <c r="I64" s="45"/>
      <c r="J64" s="45"/>
      <c r="K64" s="45"/>
      <c r="L64" s="45"/>
      <c r="M64" s="4"/>
      <c r="N64" s="38" t="s">
        <v>173</v>
      </c>
      <c r="O64" s="38" t="s">
        <v>173</v>
      </c>
      <c r="P64" s="38" t="s">
        <v>173</v>
      </c>
      <c r="Q64" s="38" t="s">
        <v>173</v>
      </c>
      <c r="R64" s="38" t="s">
        <v>173</v>
      </c>
      <c r="S64" s="38" t="s">
        <v>173</v>
      </c>
      <c r="T64" s="45"/>
      <c r="U64" s="45"/>
      <c r="V64" s="45"/>
      <c r="W64" s="45"/>
      <c r="X64" s="45"/>
      <c r="Y64" s="45"/>
      <c r="Z64" s="45"/>
      <c r="AA64" s="45"/>
      <c r="AB64" s="69">
        <v>20.906934660000001</v>
      </c>
      <c r="AC64" s="69">
        <v>29.14204462</v>
      </c>
      <c r="AD64" s="69">
        <v>29.142045</v>
      </c>
      <c r="AE64" s="69">
        <v>29.142045</v>
      </c>
      <c r="AF64" s="69">
        <v>24.77231403</v>
      </c>
      <c r="AG64" s="69">
        <v>24.772314000000001</v>
      </c>
      <c r="AH64" s="69">
        <v>24.772314000000001</v>
      </c>
      <c r="AI64" s="69">
        <v>29.283446210000001</v>
      </c>
      <c r="AJ64" s="69">
        <v>28.77813093</v>
      </c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</row>
    <row r="65" spans="1:49" x14ac:dyDescent="0.25">
      <c r="A65" s="4">
        <v>2066</v>
      </c>
      <c r="B65" s="66">
        <v>2.6914777000000001E-2</v>
      </c>
      <c r="C65" s="67">
        <v>2.5706768000000001E-2</v>
      </c>
      <c r="D65" s="67">
        <v>3.3554617000000002E-2</v>
      </c>
      <c r="E65" s="67">
        <v>2.9965821E-2</v>
      </c>
      <c r="F65" s="67">
        <v>1.417027E-2</v>
      </c>
      <c r="G65" s="68">
        <v>1.417027E-2</v>
      </c>
      <c r="H65" s="45"/>
      <c r="I65" s="45"/>
      <c r="J65" s="45"/>
      <c r="K65" s="45"/>
      <c r="L65" s="45"/>
      <c r="M65" s="4"/>
      <c r="N65" s="38" t="s">
        <v>173</v>
      </c>
      <c r="O65" s="38" t="s">
        <v>173</v>
      </c>
      <c r="P65" s="38" t="s">
        <v>173</v>
      </c>
      <c r="Q65" s="38" t="s">
        <v>173</v>
      </c>
      <c r="R65" s="38" t="s">
        <v>173</v>
      </c>
      <c r="S65" s="38" t="s">
        <v>173</v>
      </c>
      <c r="T65" s="45"/>
      <c r="U65" s="45"/>
      <c r="V65" s="45"/>
      <c r="W65" s="45"/>
      <c r="X65" s="45"/>
      <c r="Y65" s="45"/>
      <c r="Z65" s="45"/>
      <c r="AA65" s="45"/>
      <c r="AB65" s="69">
        <v>20.906934660000001</v>
      </c>
      <c r="AC65" s="69">
        <v>29.14204462</v>
      </c>
      <c r="AD65" s="69">
        <v>29.142045</v>
      </c>
      <c r="AE65" s="69">
        <v>29.142045</v>
      </c>
      <c r="AF65" s="69">
        <v>24.77231403</v>
      </c>
      <c r="AG65" s="69">
        <v>24.772314000000001</v>
      </c>
      <c r="AH65" s="69">
        <v>24.772314000000001</v>
      </c>
      <c r="AI65" s="69">
        <v>29.283446210000001</v>
      </c>
      <c r="AJ65" s="69">
        <v>28.77813093</v>
      </c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</row>
    <row r="66" spans="1:49" x14ac:dyDescent="0.25">
      <c r="A66" s="4">
        <v>2067</v>
      </c>
      <c r="B66" s="66">
        <v>2.6914777000000001E-2</v>
      </c>
      <c r="C66" s="67">
        <v>2.5706768000000001E-2</v>
      </c>
      <c r="D66" s="67">
        <v>3.3554617000000002E-2</v>
      </c>
      <c r="E66" s="67">
        <v>2.9965821E-2</v>
      </c>
      <c r="F66" s="67">
        <v>1.417027E-2</v>
      </c>
      <c r="G66" s="68">
        <v>1.417027E-2</v>
      </c>
      <c r="H66" s="45"/>
      <c r="I66" s="45"/>
      <c r="J66" s="45"/>
      <c r="K66" s="45"/>
      <c r="L66" s="45"/>
      <c r="M66" s="4"/>
      <c r="N66" s="38" t="s">
        <v>173</v>
      </c>
      <c r="O66" s="38" t="s">
        <v>173</v>
      </c>
      <c r="P66" s="38" t="s">
        <v>173</v>
      </c>
      <c r="Q66" s="38" t="s">
        <v>173</v>
      </c>
      <c r="R66" s="38" t="s">
        <v>173</v>
      </c>
      <c r="S66" s="38" t="s">
        <v>173</v>
      </c>
      <c r="T66" s="45"/>
      <c r="U66" s="45"/>
      <c r="V66" s="45"/>
      <c r="W66" s="45"/>
      <c r="X66" s="45"/>
      <c r="Y66" s="45"/>
      <c r="Z66" s="45"/>
      <c r="AA66" s="45"/>
      <c r="AB66" s="69">
        <v>20.906934660000001</v>
      </c>
      <c r="AC66" s="69">
        <v>29.14204462</v>
      </c>
      <c r="AD66" s="69">
        <v>29.142045</v>
      </c>
      <c r="AE66" s="69">
        <v>29.142045</v>
      </c>
      <c r="AF66" s="69">
        <v>24.77231403</v>
      </c>
      <c r="AG66" s="69">
        <v>24.772314000000001</v>
      </c>
      <c r="AH66" s="69">
        <v>24.772314000000001</v>
      </c>
      <c r="AI66" s="69">
        <v>29.283446210000001</v>
      </c>
      <c r="AJ66" s="69">
        <v>28.77813093</v>
      </c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</row>
    <row r="67" spans="1:49" x14ac:dyDescent="0.25">
      <c r="A67" s="4">
        <v>2068</v>
      </c>
      <c r="B67" s="66">
        <v>2.6914777000000001E-2</v>
      </c>
      <c r="C67" s="67">
        <v>2.5706768000000001E-2</v>
      </c>
      <c r="D67" s="67">
        <v>3.3554617000000002E-2</v>
      </c>
      <c r="E67" s="67">
        <v>2.9965821E-2</v>
      </c>
      <c r="F67" s="67">
        <v>1.417027E-2</v>
      </c>
      <c r="G67" s="68">
        <v>1.417027E-2</v>
      </c>
      <c r="H67" s="45"/>
      <c r="I67" s="45"/>
      <c r="J67" s="45"/>
      <c r="K67" s="45"/>
      <c r="L67" s="45"/>
      <c r="M67" s="4"/>
      <c r="N67" s="38" t="s">
        <v>173</v>
      </c>
      <c r="O67" s="38" t="s">
        <v>173</v>
      </c>
      <c r="P67" s="38" t="s">
        <v>173</v>
      </c>
      <c r="Q67" s="38" t="s">
        <v>173</v>
      </c>
      <c r="R67" s="38" t="s">
        <v>173</v>
      </c>
      <c r="S67" s="38" t="s">
        <v>173</v>
      </c>
      <c r="T67" s="45"/>
      <c r="U67" s="45"/>
      <c r="V67" s="45"/>
      <c r="W67" s="45"/>
      <c r="X67" s="45"/>
      <c r="Y67" s="45"/>
      <c r="Z67" s="45"/>
      <c r="AA67" s="45"/>
      <c r="AB67" s="69">
        <v>20.906934660000001</v>
      </c>
      <c r="AC67" s="69">
        <v>29.14204462</v>
      </c>
      <c r="AD67" s="69">
        <v>29.142045</v>
      </c>
      <c r="AE67" s="69">
        <v>29.142045</v>
      </c>
      <c r="AF67" s="69">
        <v>24.77231403</v>
      </c>
      <c r="AG67" s="69">
        <v>24.772314000000001</v>
      </c>
      <c r="AH67" s="69">
        <v>24.772314000000001</v>
      </c>
      <c r="AI67" s="69">
        <v>29.283446210000001</v>
      </c>
      <c r="AJ67" s="69">
        <v>28.77813093</v>
      </c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</row>
    <row r="68" spans="1:49" x14ac:dyDescent="0.25">
      <c r="A68" s="4">
        <v>2069</v>
      </c>
      <c r="B68" s="66">
        <v>2.6914777000000001E-2</v>
      </c>
      <c r="C68" s="67">
        <v>2.5706768000000001E-2</v>
      </c>
      <c r="D68" s="67">
        <v>3.3554617000000002E-2</v>
      </c>
      <c r="E68" s="67">
        <v>2.9965821E-2</v>
      </c>
      <c r="F68" s="67">
        <v>1.417027E-2</v>
      </c>
      <c r="G68" s="68">
        <v>1.417027E-2</v>
      </c>
      <c r="H68" s="45"/>
      <c r="I68" s="45"/>
      <c r="J68" s="45"/>
      <c r="K68" s="45"/>
      <c r="L68" s="45"/>
      <c r="M68" s="4"/>
      <c r="N68" s="38" t="s">
        <v>173</v>
      </c>
      <c r="O68" s="38" t="s">
        <v>173</v>
      </c>
      <c r="P68" s="38" t="s">
        <v>173</v>
      </c>
      <c r="Q68" s="38" t="s">
        <v>173</v>
      </c>
      <c r="R68" s="38" t="s">
        <v>173</v>
      </c>
      <c r="S68" s="38" t="s">
        <v>173</v>
      </c>
      <c r="T68" s="45"/>
      <c r="U68" s="45"/>
      <c r="V68" s="45"/>
      <c r="W68" s="45"/>
      <c r="X68" s="45"/>
      <c r="Y68" s="45"/>
      <c r="Z68" s="45"/>
      <c r="AA68" s="45"/>
      <c r="AB68" s="69">
        <v>20.906934660000001</v>
      </c>
      <c r="AC68" s="69">
        <v>29.14204462</v>
      </c>
      <c r="AD68" s="69">
        <v>29.142045</v>
      </c>
      <c r="AE68" s="69">
        <v>29.142045</v>
      </c>
      <c r="AF68" s="69">
        <v>24.77231403</v>
      </c>
      <c r="AG68" s="69">
        <v>24.772314000000001</v>
      </c>
      <c r="AH68" s="69">
        <v>24.772314000000001</v>
      </c>
      <c r="AI68" s="69">
        <v>29.283446210000001</v>
      </c>
      <c r="AJ68" s="69">
        <v>28.77813093</v>
      </c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</row>
    <row r="69" spans="1:49" x14ac:dyDescent="0.25">
      <c r="A69" s="4">
        <v>2070</v>
      </c>
      <c r="B69" s="66">
        <v>2.6914777000000001E-2</v>
      </c>
      <c r="C69" s="67">
        <v>2.5706768000000001E-2</v>
      </c>
      <c r="D69" s="67">
        <v>3.3554617000000002E-2</v>
      </c>
      <c r="E69" s="67">
        <v>2.9965821E-2</v>
      </c>
      <c r="F69" s="67">
        <v>1.417027E-2</v>
      </c>
      <c r="G69" s="68">
        <v>1.417027E-2</v>
      </c>
      <c r="H69" s="45"/>
      <c r="I69" s="45"/>
      <c r="J69" s="45"/>
      <c r="K69" s="45"/>
      <c r="L69" s="45"/>
      <c r="M69" s="4"/>
      <c r="N69" s="38" t="s">
        <v>173</v>
      </c>
      <c r="O69" s="38" t="s">
        <v>173</v>
      </c>
      <c r="P69" s="38" t="s">
        <v>173</v>
      </c>
      <c r="Q69" s="38" t="s">
        <v>173</v>
      </c>
      <c r="R69" s="38" t="s">
        <v>173</v>
      </c>
      <c r="S69" s="38" t="s">
        <v>173</v>
      </c>
      <c r="T69" s="45"/>
      <c r="U69" s="45"/>
      <c r="V69" s="45"/>
      <c r="W69" s="45"/>
      <c r="X69" s="45"/>
      <c r="Y69" s="45"/>
      <c r="Z69" s="45"/>
      <c r="AA69" s="45"/>
      <c r="AB69" s="69">
        <v>20.906934660000001</v>
      </c>
      <c r="AC69" s="69">
        <v>29.14204462</v>
      </c>
      <c r="AD69" s="69">
        <v>29.142045</v>
      </c>
      <c r="AE69" s="69">
        <v>29.142045</v>
      </c>
      <c r="AF69" s="69">
        <v>24.77231403</v>
      </c>
      <c r="AG69" s="69">
        <v>24.772314000000001</v>
      </c>
      <c r="AH69" s="69">
        <v>24.772314000000001</v>
      </c>
      <c r="AI69" s="69">
        <v>29.283446210000001</v>
      </c>
      <c r="AJ69" s="69">
        <v>28.77813093</v>
      </c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</row>
    <row r="70" spans="1:49" x14ac:dyDescent="0.25">
      <c r="A70" s="4">
        <v>2071</v>
      </c>
      <c r="B70" s="66">
        <v>2.6914777000000001E-2</v>
      </c>
      <c r="C70" s="67">
        <v>2.5706768000000001E-2</v>
      </c>
      <c r="D70" s="67">
        <v>3.3554617000000002E-2</v>
      </c>
      <c r="E70" s="67">
        <v>2.9965821E-2</v>
      </c>
      <c r="F70" s="67">
        <v>1.417027E-2</v>
      </c>
      <c r="G70" s="68">
        <v>1.417027E-2</v>
      </c>
      <c r="H70" s="45"/>
      <c r="I70" s="45"/>
      <c r="J70" s="45"/>
      <c r="K70" s="45"/>
      <c r="L70" s="45"/>
      <c r="M70" s="4"/>
      <c r="N70" s="38" t="s">
        <v>173</v>
      </c>
      <c r="O70" s="38" t="s">
        <v>173</v>
      </c>
      <c r="P70" s="38" t="s">
        <v>173</v>
      </c>
      <c r="Q70" s="38" t="s">
        <v>173</v>
      </c>
      <c r="R70" s="38" t="s">
        <v>173</v>
      </c>
      <c r="S70" s="38" t="s">
        <v>173</v>
      </c>
      <c r="T70" s="45"/>
      <c r="U70" s="45"/>
      <c r="V70" s="45"/>
      <c r="W70" s="45"/>
      <c r="X70" s="45"/>
      <c r="Y70" s="45"/>
      <c r="Z70" s="45"/>
      <c r="AA70" s="45"/>
      <c r="AB70" s="69">
        <v>20.906934660000001</v>
      </c>
      <c r="AC70" s="69">
        <v>29.14204462</v>
      </c>
      <c r="AD70" s="69">
        <v>29.142045</v>
      </c>
      <c r="AE70" s="69">
        <v>29.142045</v>
      </c>
      <c r="AF70" s="69">
        <v>24.77231403</v>
      </c>
      <c r="AG70" s="69">
        <v>24.772314000000001</v>
      </c>
      <c r="AH70" s="69">
        <v>24.772314000000001</v>
      </c>
      <c r="AI70" s="69">
        <v>29.283446210000001</v>
      </c>
      <c r="AJ70" s="69">
        <v>28.77813093</v>
      </c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</row>
    <row r="71" spans="1:49" x14ac:dyDescent="0.25">
      <c r="A71" s="4">
        <v>2072</v>
      </c>
      <c r="B71" s="66">
        <v>2.6914777000000001E-2</v>
      </c>
      <c r="C71" s="67">
        <v>2.5706768000000001E-2</v>
      </c>
      <c r="D71" s="67">
        <v>3.3554617000000002E-2</v>
      </c>
      <c r="E71" s="67">
        <v>2.9965821E-2</v>
      </c>
      <c r="F71" s="67">
        <v>1.417027E-2</v>
      </c>
      <c r="G71" s="68">
        <v>1.417027E-2</v>
      </c>
      <c r="H71" s="45"/>
      <c r="I71" s="45"/>
      <c r="J71" s="45"/>
      <c r="K71" s="45"/>
      <c r="L71" s="45"/>
      <c r="M71" s="4"/>
      <c r="N71" s="38" t="s">
        <v>173</v>
      </c>
      <c r="O71" s="38" t="s">
        <v>173</v>
      </c>
      <c r="P71" s="38" t="s">
        <v>173</v>
      </c>
      <c r="Q71" s="38" t="s">
        <v>173</v>
      </c>
      <c r="R71" s="38" t="s">
        <v>173</v>
      </c>
      <c r="S71" s="38" t="s">
        <v>173</v>
      </c>
      <c r="T71" s="45"/>
      <c r="U71" s="45"/>
      <c r="V71" s="45"/>
      <c r="W71" s="45"/>
      <c r="X71" s="45"/>
      <c r="Y71" s="45"/>
      <c r="Z71" s="45"/>
      <c r="AA71" s="45"/>
      <c r="AB71" s="69">
        <v>20.906934660000001</v>
      </c>
      <c r="AC71" s="69">
        <v>29.14204462</v>
      </c>
      <c r="AD71" s="69">
        <v>29.142045</v>
      </c>
      <c r="AE71" s="69">
        <v>29.142045</v>
      </c>
      <c r="AF71" s="69">
        <v>24.77231403</v>
      </c>
      <c r="AG71" s="69">
        <v>24.772314000000001</v>
      </c>
      <c r="AH71" s="69">
        <v>24.772314000000001</v>
      </c>
      <c r="AI71" s="69">
        <v>29.283446210000001</v>
      </c>
      <c r="AJ71" s="69">
        <v>28.77813093</v>
      </c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</row>
    <row r="72" spans="1:49" x14ac:dyDescent="0.25">
      <c r="A72" s="4">
        <v>2073</v>
      </c>
      <c r="B72" s="66">
        <v>2.6914777000000001E-2</v>
      </c>
      <c r="C72" s="67">
        <v>2.5706768000000001E-2</v>
      </c>
      <c r="D72" s="67">
        <v>3.3554617000000002E-2</v>
      </c>
      <c r="E72" s="67">
        <v>2.9965821E-2</v>
      </c>
      <c r="F72" s="67">
        <v>1.417027E-2</v>
      </c>
      <c r="G72" s="68">
        <v>1.417027E-2</v>
      </c>
      <c r="H72" s="45"/>
      <c r="I72" s="45"/>
      <c r="J72" s="45"/>
      <c r="K72" s="45"/>
      <c r="L72" s="45"/>
      <c r="M72" s="4"/>
      <c r="N72" s="38" t="s">
        <v>173</v>
      </c>
      <c r="O72" s="38" t="s">
        <v>173</v>
      </c>
      <c r="P72" s="38" t="s">
        <v>173</v>
      </c>
      <c r="Q72" s="38" t="s">
        <v>173</v>
      </c>
      <c r="R72" s="38" t="s">
        <v>173</v>
      </c>
      <c r="S72" s="38" t="s">
        <v>173</v>
      </c>
      <c r="T72" s="45"/>
      <c r="U72" s="45"/>
      <c r="V72" s="45"/>
      <c r="W72" s="45"/>
      <c r="X72" s="45"/>
      <c r="Y72" s="45"/>
      <c r="Z72" s="45"/>
      <c r="AA72" s="45"/>
      <c r="AB72" s="69">
        <v>20.906934660000001</v>
      </c>
      <c r="AC72" s="69">
        <v>29.14204462</v>
      </c>
      <c r="AD72" s="69">
        <v>29.142045</v>
      </c>
      <c r="AE72" s="69">
        <v>29.142045</v>
      </c>
      <c r="AF72" s="69">
        <v>24.77231403</v>
      </c>
      <c r="AG72" s="69">
        <v>24.772314000000001</v>
      </c>
      <c r="AH72" s="69">
        <v>24.772314000000001</v>
      </c>
      <c r="AI72" s="69">
        <v>29.283446210000001</v>
      </c>
      <c r="AJ72" s="69">
        <v>28.77813093</v>
      </c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</row>
    <row r="73" spans="1:49" x14ac:dyDescent="0.25">
      <c r="A73" s="4">
        <v>2074</v>
      </c>
      <c r="B73" s="66">
        <v>2.6914777000000001E-2</v>
      </c>
      <c r="C73" s="67">
        <v>2.5706768000000001E-2</v>
      </c>
      <c r="D73" s="67">
        <v>3.3554617000000002E-2</v>
      </c>
      <c r="E73" s="67">
        <v>2.9965821E-2</v>
      </c>
      <c r="F73" s="67">
        <v>1.417027E-2</v>
      </c>
      <c r="G73" s="68">
        <v>1.417027E-2</v>
      </c>
      <c r="H73" s="45"/>
      <c r="I73" s="45"/>
      <c r="J73" s="45"/>
      <c r="K73" s="45"/>
      <c r="L73" s="45"/>
      <c r="M73" s="4"/>
      <c r="N73" s="38" t="s">
        <v>173</v>
      </c>
      <c r="O73" s="38" t="s">
        <v>173</v>
      </c>
      <c r="P73" s="38" t="s">
        <v>173</v>
      </c>
      <c r="Q73" s="38" t="s">
        <v>173</v>
      </c>
      <c r="R73" s="38" t="s">
        <v>173</v>
      </c>
      <c r="S73" s="38" t="s">
        <v>173</v>
      </c>
      <c r="T73" s="45"/>
      <c r="U73" s="45"/>
      <c r="V73" s="45"/>
      <c r="W73" s="45"/>
      <c r="X73" s="45"/>
      <c r="Y73" s="45"/>
      <c r="Z73" s="45"/>
      <c r="AA73" s="45"/>
      <c r="AB73" s="69">
        <v>20.906934660000001</v>
      </c>
      <c r="AC73" s="69">
        <v>29.14204462</v>
      </c>
      <c r="AD73" s="69">
        <v>29.142045</v>
      </c>
      <c r="AE73" s="69">
        <v>29.142045</v>
      </c>
      <c r="AF73" s="69">
        <v>24.77231403</v>
      </c>
      <c r="AG73" s="69">
        <v>24.772314000000001</v>
      </c>
      <c r="AH73" s="69">
        <v>24.772314000000001</v>
      </c>
      <c r="AI73" s="69">
        <v>29.283446210000001</v>
      </c>
      <c r="AJ73" s="69">
        <v>28.77813093</v>
      </c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</row>
    <row r="74" spans="1:49" x14ac:dyDescent="0.25">
      <c r="A74" s="4">
        <v>2075</v>
      </c>
      <c r="B74" s="66">
        <v>2.6914777000000001E-2</v>
      </c>
      <c r="C74" s="67">
        <v>2.5706768000000001E-2</v>
      </c>
      <c r="D74" s="67">
        <v>3.3554617000000002E-2</v>
      </c>
      <c r="E74" s="67">
        <v>2.9965821E-2</v>
      </c>
      <c r="F74" s="67">
        <v>1.417027E-2</v>
      </c>
      <c r="G74" s="68">
        <v>1.417027E-2</v>
      </c>
      <c r="H74" s="45"/>
      <c r="I74" s="45"/>
      <c r="J74" s="45"/>
      <c r="K74" s="45"/>
      <c r="L74" s="45"/>
      <c r="M74" s="4"/>
      <c r="N74" s="38" t="s">
        <v>173</v>
      </c>
      <c r="O74" s="38" t="s">
        <v>173</v>
      </c>
      <c r="P74" s="38" t="s">
        <v>173</v>
      </c>
      <c r="Q74" s="38" t="s">
        <v>173</v>
      </c>
      <c r="R74" s="38" t="s">
        <v>173</v>
      </c>
      <c r="S74" s="38" t="s">
        <v>173</v>
      </c>
      <c r="T74" s="45"/>
      <c r="U74" s="45"/>
      <c r="V74" s="45"/>
      <c r="W74" s="45"/>
      <c r="X74" s="45"/>
      <c r="Y74" s="45"/>
      <c r="Z74" s="45"/>
      <c r="AA74" s="45"/>
      <c r="AB74" s="69">
        <v>20.906934660000001</v>
      </c>
      <c r="AC74" s="69">
        <v>29.14204462</v>
      </c>
      <c r="AD74" s="69">
        <v>29.142045</v>
      </c>
      <c r="AE74" s="69">
        <v>29.142045</v>
      </c>
      <c r="AF74" s="69">
        <v>24.77231403</v>
      </c>
      <c r="AG74" s="69">
        <v>24.772314000000001</v>
      </c>
      <c r="AH74" s="69">
        <v>24.772314000000001</v>
      </c>
      <c r="AI74" s="69">
        <v>29.283446210000001</v>
      </c>
      <c r="AJ74" s="69">
        <v>28.77813093</v>
      </c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</row>
    <row r="75" spans="1:49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</row>
    <row r="76" spans="1:49" x14ac:dyDescent="0.25">
      <c r="A76" s="45"/>
      <c r="B76" s="49" t="s">
        <v>270</v>
      </c>
      <c r="C76" s="49" t="s">
        <v>173</v>
      </c>
      <c r="D76" s="49" t="s">
        <v>173</v>
      </c>
      <c r="E76" s="49" t="s">
        <v>173</v>
      </c>
      <c r="F76" s="49" t="s">
        <v>173</v>
      </c>
      <c r="G76" s="50" t="s">
        <v>261</v>
      </c>
      <c r="H76" s="51"/>
      <c r="I76" s="51"/>
      <c r="J76" s="51"/>
      <c r="K76" s="51"/>
      <c r="L76" s="49" t="s">
        <v>173</v>
      </c>
      <c r="M76" s="49" t="s">
        <v>173</v>
      </c>
      <c r="N76" s="49" t="s">
        <v>173</v>
      </c>
      <c r="O76" s="49" t="s">
        <v>173</v>
      </c>
      <c r="P76" s="49" t="s">
        <v>173</v>
      </c>
      <c r="Q76" s="49" t="s">
        <v>173</v>
      </c>
      <c r="R76" s="49" t="s">
        <v>173</v>
      </c>
      <c r="S76" s="49" t="s">
        <v>173</v>
      </c>
      <c r="T76" s="49" t="s">
        <v>173</v>
      </c>
      <c r="U76" s="49" t="s">
        <v>173</v>
      </c>
      <c r="V76" s="49" t="s">
        <v>173</v>
      </c>
      <c r="W76" s="49" t="s">
        <v>173</v>
      </c>
      <c r="X76" s="49" t="s">
        <v>173</v>
      </c>
      <c r="Y76" s="49" t="s">
        <v>173</v>
      </c>
      <c r="Z76" s="49" t="s">
        <v>173</v>
      </c>
      <c r="AA76" s="49" t="s">
        <v>173</v>
      </c>
      <c r="AB76" s="49" t="s">
        <v>173</v>
      </c>
      <c r="AC76" s="49" t="s">
        <v>173</v>
      </c>
      <c r="AD76" s="49" t="s">
        <v>173</v>
      </c>
      <c r="AE76" s="49" t="s">
        <v>173</v>
      </c>
      <c r="AF76" s="49" t="s">
        <v>173</v>
      </c>
      <c r="AG76" s="49" t="s">
        <v>173</v>
      </c>
      <c r="AH76" s="49" t="s">
        <v>173</v>
      </c>
      <c r="AI76" s="49" t="s">
        <v>173</v>
      </c>
      <c r="AJ76" s="49" t="s">
        <v>173</v>
      </c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</row>
    <row r="77" spans="1:49" x14ac:dyDescent="0.25">
      <c r="A77" s="45"/>
      <c r="B77" s="3" t="s">
        <v>209</v>
      </c>
      <c r="C77" s="3"/>
      <c r="D77" s="3"/>
      <c r="E77" s="3"/>
      <c r="F77" s="3"/>
      <c r="G77" s="3"/>
      <c r="H77" s="45"/>
      <c r="I77" s="45"/>
      <c r="J77" s="45"/>
      <c r="K77" s="45"/>
      <c r="L77" s="45"/>
      <c r="M77" s="45"/>
      <c r="N77" s="3" t="s">
        <v>209</v>
      </c>
      <c r="O77" s="3"/>
      <c r="P77" s="3"/>
      <c r="Q77" s="3"/>
      <c r="R77" s="3"/>
      <c r="S77" s="3"/>
      <c r="T77" s="45"/>
      <c r="U77" s="45"/>
      <c r="V77" s="45"/>
      <c r="W77" s="45"/>
      <c r="X77" s="45"/>
      <c r="Y77" s="45"/>
      <c r="Z77" s="45"/>
      <c r="AA77" s="45" t="s">
        <v>262</v>
      </c>
      <c r="AB77" s="45">
        <v>9.9999999999999995E-8</v>
      </c>
      <c r="AC77" s="45">
        <v>5.9999999999999997E-7</v>
      </c>
      <c r="AD77" s="45">
        <v>5.9999999999999997E-7</v>
      </c>
      <c r="AE77" s="45">
        <v>5.9999999999999997E-7</v>
      </c>
      <c r="AF77" s="45">
        <v>5.9999999999999997E-7</v>
      </c>
      <c r="AG77" s="45">
        <v>5.9999999999999997E-7</v>
      </c>
      <c r="AH77" s="45">
        <v>5.9999999999999997E-7</v>
      </c>
      <c r="AI77" s="70">
        <v>5.9999999999999997E-7</v>
      </c>
      <c r="AJ77" s="70">
        <v>5.9999999999999997E-7</v>
      </c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</row>
    <row r="78" spans="1:49" x14ac:dyDescent="0.25">
      <c r="A78" s="45"/>
      <c r="B78" s="6" t="s">
        <v>223</v>
      </c>
      <c r="C78" s="3"/>
      <c r="D78" s="3"/>
      <c r="E78" s="6" t="s">
        <v>173</v>
      </c>
      <c r="F78" s="6" t="s">
        <v>173</v>
      </c>
      <c r="G78" s="6" t="s">
        <v>173</v>
      </c>
      <c r="H78" s="45"/>
      <c r="I78" s="45"/>
      <c r="J78" s="45"/>
      <c r="K78" s="45"/>
      <c r="L78" s="45"/>
      <c r="M78" s="45"/>
      <c r="N78" s="6" t="s">
        <v>223</v>
      </c>
      <c r="O78" s="3"/>
      <c r="P78" s="3"/>
      <c r="Q78" s="3"/>
      <c r="R78" s="6" t="s">
        <v>173</v>
      </c>
      <c r="S78" s="6" t="s">
        <v>173</v>
      </c>
      <c r="T78" s="45"/>
      <c r="U78" s="45"/>
      <c r="V78" s="45"/>
      <c r="W78" s="45"/>
      <c r="X78" s="45"/>
      <c r="Y78" s="45"/>
      <c r="Z78" s="45"/>
      <c r="AA78" s="45"/>
      <c r="AB78" s="45">
        <v>1</v>
      </c>
      <c r="AC78" s="45">
        <v>2</v>
      </c>
      <c r="AD78" s="45">
        <v>3</v>
      </c>
      <c r="AE78" s="45">
        <v>4</v>
      </c>
      <c r="AF78" s="45">
        <v>5</v>
      </c>
      <c r="AG78" s="45">
        <v>6</v>
      </c>
      <c r="AH78" s="45">
        <v>7</v>
      </c>
      <c r="AI78" s="45">
        <v>8</v>
      </c>
      <c r="AJ78" s="45">
        <v>9</v>
      </c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</row>
    <row r="79" spans="1:49" x14ac:dyDescent="0.25">
      <c r="A79" s="45"/>
      <c r="B79" s="97" t="s">
        <v>178</v>
      </c>
      <c r="C79" s="101" t="s">
        <v>179</v>
      </c>
      <c r="D79" s="101" t="s">
        <v>180</v>
      </c>
      <c r="E79" s="101" t="s">
        <v>181</v>
      </c>
      <c r="F79" s="101" t="s">
        <v>238</v>
      </c>
      <c r="G79" s="99" t="s">
        <v>239</v>
      </c>
      <c r="H79" s="45"/>
      <c r="I79" s="45"/>
      <c r="J79" s="45"/>
      <c r="K79" s="45"/>
      <c r="L79" s="45"/>
      <c r="M79" s="45"/>
      <c r="N79" s="97" t="s">
        <v>178</v>
      </c>
      <c r="O79" s="101" t="s">
        <v>179</v>
      </c>
      <c r="P79" s="101" t="s">
        <v>180</v>
      </c>
      <c r="Q79" s="101" t="s">
        <v>181</v>
      </c>
      <c r="R79" s="101" t="s">
        <v>238</v>
      </c>
      <c r="S79" s="99" t="s">
        <v>239</v>
      </c>
      <c r="T79" s="45"/>
      <c r="U79" s="45"/>
      <c r="V79" s="45"/>
      <c r="W79" s="45"/>
      <c r="X79" s="45"/>
      <c r="Y79" s="45"/>
      <c r="Z79" s="45"/>
      <c r="AA79" s="45"/>
      <c r="AB79" s="45" t="s">
        <v>185</v>
      </c>
      <c r="AC79" s="45" t="s">
        <v>229</v>
      </c>
      <c r="AD79" s="45" t="s">
        <v>230</v>
      </c>
      <c r="AE79" s="45" t="s">
        <v>231</v>
      </c>
      <c r="AF79" s="45" t="s">
        <v>232</v>
      </c>
      <c r="AG79" s="45" t="s">
        <v>233</v>
      </c>
      <c r="AH79" s="45" t="s">
        <v>234</v>
      </c>
      <c r="AI79" s="45" t="s">
        <v>235</v>
      </c>
      <c r="AJ79" s="45" t="s">
        <v>236</v>
      </c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</row>
    <row r="80" spans="1:49" x14ac:dyDescent="0.25">
      <c r="A80" s="45"/>
      <c r="B80" s="97"/>
      <c r="C80" s="101"/>
      <c r="D80" s="101"/>
      <c r="E80" s="101"/>
      <c r="F80" s="101"/>
      <c r="G80" s="99"/>
      <c r="H80" s="45"/>
      <c r="I80" s="45"/>
      <c r="J80" s="45"/>
      <c r="K80" s="45"/>
      <c r="L80" s="45"/>
      <c r="M80" s="45"/>
      <c r="N80" s="97"/>
      <c r="O80" s="101"/>
      <c r="P80" s="101"/>
      <c r="Q80" s="101"/>
      <c r="R80" s="101"/>
      <c r="S80" s="99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</row>
    <row r="81" spans="1:49" x14ac:dyDescent="0.25">
      <c r="A81" s="45"/>
      <c r="B81" s="34" t="s">
        <v>173</v>
      </c>
      <c r="C81" s="3"/>
      <c r="D81" s="3"/>
      <c r="E81" s="3"/>
      <c r="F81" s="3"/>
      <c r="G81" s="30" t="s">
        <v>173</v>
      </c>
      <c r="H81" s="45"/>
      <c r="I81" s="45"/>
      <c r="J81" s="45"/>
      <c r="K81" s="45"/>
      <c r="L81" s="45"/>
      <c r="M81" s="45"/>
      <c r="N81" s="34" t="s">
        <v>173</v>
      </c>
      <c r="O81" s="3"/>
      <c r="P81" s="3"/>
      <c r="Q81" s="3"/>
      <c r="R81" s="3"/>
      <c r="S81" s="30" t="s">
        <v>173</v>
      </c>
      <c r="T81" s="45"/>
      <c r="U81" s="45"/>
      <c r="V81" s="45"/>
      <c r="W81" s="45"/>
      <c r="X81" s="45"/>
      <c r="Y81" s="45"/>
      <c r="Z81" s="45"/>
      <c r="AA81" s="45"/>
      <c r="AB81" s="45" t="s">
        <v>185</v>
      </c>
      <c r="AC81" s="45" t="s">
        <v>246</v>
      </c>
      <c r="AD81" s="45" t="s">
        <v>246</v>
      </c>
      <c r="AE81" s="45" t="s">
        <v>246</v>
      </c>
      <c r="AF81" s="45" t="s">
        <v>247</v>
      </c>
      <c r="AG81" s="45" t="s">
        <v>247</v>
      </c>
      <c r="AH81" s="45" t="s">
        <v>247</v>
      </c>
      <c r="AI81" s="45" t="s">
        <v>246</v>
      </c>
      <c r="AJ81" s="45" t="s">
        <v>246</v>
      </c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</row>
    <row r="82" spans="1:49" x14ac:dyDescent="0.25">
      <c r="A82" s="45"/>
      <c r="B82" s="34" t="s">
        <v>192</v>
      </c>
      <c r="C82" s="3" t="s">
        <v>192</v>
      </c>
      <c r="D82" s="3" t="s">
        <v>192</v>
      </c>
      <c r="E82" s="3" t="s">
        <v>192</v>
      </c>
      <c r="F82" s="3" t="s">
        <v>192</v>
      </c>
      <c r="G82" s="30" t="s">
        <v>192</v>
      </c>
      <c r="H82" s="45"/>
      <c r="I82" s="45"/>
      <c r="J82" s="45"/>
      <c r="K82" s="45"/>
      <c r="L82" s="45"/>
      <c r="M82" s="45"/>
      <c r="N82" s="30" t="s">
        <v>265</v>
      </c>
      <c r="O82" s="30" t="s">
        <v>265</v>
      </c>
      <c r="P82" s="30" t="s">
        <v>265</v>
      </c>
      <c r="Q82" s="30" t="s">
        <v>265</v>
      </c>
      <c r="R82" s="30" t="s">
        <v>265</v>
      </c>
      <c r="S82" s="30" t="s">
        <v>265</v>
      </c>
      <c r="T82" s="45"/>
      <c r="U82" s="45"/>
      <c r="V82" s="45"/>
      <c r="W82" s="45"/>
      <c r="X82" s="45"/>
      <c r="Y82" s="45"/>
      <c r="Z82" s="45"/>
      <c r="AA82" s="45"/>
      <c r="AB82" s="45" t="s">
        <v>196</v>
      </c>
      <c r="AC82" s="45" t="s">
        <v>196</v>
      </c>
      <c r="AD82" s="45" t="s">
        <v>196</v>
      </c>
      <c r="AE82" s="45" t="s">
        <v>196</v>
      </c>
      <c r="AF82" s="45" t="s">
        <v>196</v>
      </c>
      <c r="AG82" s="45" t="s">
        <v>196</v>
      </c>
      <c r="AH82" s="45" t="s">
        <v>196</v>
      </c>
      <c r="AI82" s="45" t="s">
        <v>196</v>
      </c>
      <c r="AJ82" s="45" t="s">
        <v>196</v>
      </c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</row>
    <row r="83" spans="1:49" x14ac:dyDescent="0.25">
      <c r="A83" s="4">
        <v>2020</v>
      </c>
      <c r="B83" s="56" t="s">
        <v>173</v>
      </c>
      <c r="C83" s="56" t="s">
        <v>173</v>
      </c>
      <c r="D83" s="56" t="s">
        <v>173</v>
      </c>
      <c r="E83" s="56" t="s">
        <v>173</v>
      </c>
      <c r="F83" s="56" t="s">
        <v>173</v>
      </c>
      <c r="G83" s="56" t="s">
        <v>173</v>
      </c>
      <c r="H83" s="45"/>
      <c r="I83" s="45"/>
      <c r="J83" s="45"/>
      <c r="K83" s="45"/>
      <c r="L83" s="45"/>
      <c r="M83" s="4">
        <v>2020</v>
      </c>
      <c r="N83" s="56" t="s">
        <v>173</v>
      </c>
      <c r="O83" s="56" t="s">
        <v>173</v>
      </c>
      <c r="P83" s="56" t="s">
        <v>173</v>
      </c>
      <c r="Q83" s="56" t="s">
        <v>173</v>
      </c>
      <c r="R83" s="56" t="s">
        <v>173</v>
      </c>
      <c r="S83" s="56" t="s">
        <v>173</v>
      </c>
      <c r="T83" s="45"/>
      <c r="U83" s="45"/>
      <c r="V83" s="45"/>
      <c r="W83" s="45"/>
      <c r="X83" s="45"/>
      <c r="Y83" s="45"/>
      <c r="Z83" s="45"/>
      <c r="AA83" s="45"/>
      <c r="AB83" s="59" t="s">
        <v>173</v>
      </c>
      <c r="AC83" s="59" t="s">
        <v>173</v>
      </c>
      <c r="AD83" s="59" t="s">
        <v>173</v>
      </c>
      <c r="AE83" s="59" t="s">
        <v>173</v>
      </c>
      <c r="AF83" s="59" t="s">
        <v>173</v>
      </c>
      <c r="AG83" s="59" t="s">
        <v>173</v>
      </c>
      <c r="AH83" s="59" t="s">
        <v>173</v>
      </c>
      <c r="AI83" s="59" t="s">
        <v>173</v>
      </c>
      <c r="AJ83" s="59" t="s">
        <v>173</v>
      </c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</row>
    <row r="84" spans="1:49" x14ac:dyDescent="0.25">
      <c r="A84" s="4">
        <v>2021</v>
      </c>
      <c r="B84" s="62" t="s">
        <v>173</v>
      </c>
      <c r="C84" s="38" t="s">
        <v>173</v>
      </c>
      <c r="D84" s="38" t="s">
        <v>173</v>
      </c>
      <c r="E84" s="38" t="s">
        <v>173</v>
      </c>
      <c r="F84" s="38" t="s">
        <v>173</v>
      </c>
      <c r="G84" s="63" t="s">
        <v>173</v>
      </c>
      <c r="H84" s="45"/>
      <c r="I84" s="45"/>
      <c r="J84" s="45"/>
      <c r="K84" s="45"/>
      <c r="L84" s="45"/>
      <c r="M84" s="4">
        <v>2021</v>
      </c>
      <c r="N84" s="62" t="s">
        <v>173</v>
      </c>
      <c r="O84" s="38" t="s">
        <v>173</v>
      </c>
      <c r="P84" s="38" t="s">
        <v>173</v>
      </c>
      <c r="Q84" s="38" t="s">
        <v>173</v>
      </c>
      <c r="R84" s="38" t="s">
        <v>173</v>
      </c>
      <c r="S84" s="63" t="s">
        <v>173</v>
      </c>
      <c r="T84" s="45"/>
      <c r="U84" s="45"/>
      <c r="V84" s="45"/>
      <c r="W84" s="45"/>
      <c r="X84" s="45"/>
      <c r="Y84" s="45"/>
      <c r="Z84" s="45"/>
      <c r="AA84" s="45"/>
      <c r="AB84" s="59" t="s">
        <v>173</v>
      </c>
      <c r="AC84" s="59" t="s">
        <v>173</v>
      </c>
      <c r="AD84" s="59" t="s">
        <v>173</v>
      </c>
      <c r="AE84" s="59" t="s">
        <v>173</v>
      </c>
      <c r="AF84" s="59" t="s">
        <v>173</v>
      </c>
      <c r="AG84" s="59" t="s">
        <v>173</v>
      </c>
      <c r="AH84" s="59" t="s">
        <v>173</v>
      </c>
      <c r="AI84" s="59" t="s">
        <v>173</v>
      </c>
      <c r="AJ84" s="59" t="s">
        <v>173</v>
      </c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</row>
    <row r="85" spans="1:49" x14ac:dyDescent="0.25">
      <c r="A85" s="4">
        <v>2022</v>
      </c>
      <c r="B85" s="62" t="s">
        <v>173</v>
      </c>
      <c r="C85" s="38" t="s">
        <v>173</v>
      </c>
      <c r="D85" s="38" t="s">
        <v>173</v>
      </c>
      <c r="E85" s="38" t="s">
        <v>173</v>
      </c>
      <c r="F85" s="38" t="s">
        <v>173</v>
      </c>
      <c r="G85" s="63" t="s">
        <v>173</v>
      </c>
      <c r="H85" s="45"/>
      <c r="I85" s="45"/>
      <c r="J85" s="45"/>
      <c r="K85" s="45"/>
      <c r="L85" s="45"/>
      <c r="M85" s="4">
        <v>2022</v>
      </c>
      <c r="N85" s="62" t="s">
        <v>173</v>
      </c>
      <c r="O85" s="38" t="s">
        <v>173</v>
      </c>
      <c r="P85" s="38" t="s">
        <v>173</v>
      </c>
      <c r="Q85" s="38" t="s">
        <v>173</v>
      </c>
      <c r="R85" s="38" t="s">
        <v>173</v>
      </c>
      <c r="S85" s="63" t="s">
        <v>173</v>
      </c>
      <c r="T85" s="45"/>
      <c r="U85" s="45"/>
      <c r="V85" s="45"/>
      <c r="W85" s="45"/>
      <c r="X85" s="45"/>
      <c r="Y85" s="45"/>
      <c r="Z85" s="45"/>
      <c r="AA85" s="45"/>
      <c r="AB85" s="59" t="s">
        <v>173</v>
      </c>
      <c r="AC85" s="59" t="s">
        <v>173</v>
      </c>
      <c r="AD85" s="59" t="s">
        <v>173</v>
      </c>
      <c r="AE85" s="59" t="s">
        <v>173</v>
      </c>
      <c r="AF85" s="59" t="s">
        <v>173</v>
      </c>
      <c r="AG85" s="59" t="s">
        <v>173</v>
      </c>
      <c r="AH85" s="59" t="s">
        <v>173</v>
      </c>
      <c r="AI85" s="59" t="s">
        <v>173</v>
      </c>
      <c r="AJ85" s="59" t="s">
        <v>173</v>
      </c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</row>
    <row r="86" spans="1:49" x14ac:dyDescent="0.25">
      <c r="A86" s="4">
        <v>2023</v>
      </c>
      <c r="B86" s="62" t="s">
        <v>173</v>
      </c>
      <c r="C86" s="38" t="s">
        <v>173</v>
      </c>
      <c r="D86" s="38" t="s">
        <v>173</v>
      </c>
      <c r="E86" s="38" t="s">
        <v>173</v>
      </c>
      <c r="F86" s="38" t="s">
        <v>173</v>
      </c>
      <c r="G86" s="63" t="s">
        <v>173</v>
      </c>
      <c r="H86" s="45"/>
      <c r="I86" s="45"/>
      <c r="J86" s="45"/>
      <c r="K86" s="45"/>
      <c r="L86" s="45"/>
      <c r="M86" s="4">
        <v>2023</v>
      </c>
      <c r="N86" s="62" t="s">
        <v>173</v>
      </c>
      <c r="O86" s="38" t="s">
        <v>173</v>
      </c>
      <c r="P86" s="38" t="s">
        <v>173</v>
      </c>
      <c r="Q86" s="38" t="s">
        <v>173</v>
      </c>
      <c r="R86" s="38" t="s">
        <v>173</v>
      </c>
      <c r="S86" s="63" t="s">
        <v>173</v>
      </c>
      <c r="T86" s="45"/>
      <c r="U86" s="45"/>
      <c r="V86" s="45"/>
      <c r="W86" s="45"/>
      <c r="X86" s="45"/>
      <c r="Y86" s="45"/>
      <c r="Z86" s="45"/>
      <c r="AA86" s="45"/>
      <c r="AB86" s="59" t="s">
        <v>173</v>
      </c>
      <c r="AC86" s="59" t="s">
        <v>173</v>
      </c>
      <c r="AD86" s="59" t="s">
        <v>173</v>
      </c>
      <c r="AE86" s="59" t="s">
        <v>173</v>
      </c>
      <c r="AF86" s="59" t="s">
        <v>173</v>
      </c>
      <c r="AG86" s="59" t="s">
        <v>173</v>
      </c>
      <c r="AH86" s="59" t="s">
        <v>173</v>
      </c>
      <c r="AI86" s="59" t="s">
        <v>173</v>
      </c>
      <c r="AJ86" s="59" t="s">
        <v>173</v>
      </c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</row>
    <row r="87" spans="1:49" x14ac:dyDescent="0.25">
      <c r="A87" s="4">
        <v>2024</v>
      </c>
      <c r="B87" s="62" t="s">
        <v>173</v>
      </c>
      <c r="C87" s="38" t="s">
        <v>173</v>
      </c>
      <c r="D87" s="38" t="s">
        <v>173</v>
      </c>
      <c r="E87" s="38" t="s">
        <v>173</v>
      </c>
      <c r="F87" s="38" t="s">
        <v>173</v>
      </c>
      <c r="G87" s="63" t="s">
        <v>173</v>
      </c>
      <c r="H87" s="45"/>
      <c r="I87" s="45"/>
      <c r="J87" s="45"/>
      <c r="K87" s="45"/>
      <c r="L87" s="45"/>
      <c r="M87" s="4">
        <v>2024</v>
      </c>
      <c r="N87" s="62" t="s">
        <v>173</v>
      </c>
      <c r="O87" s="38" t="s">
        <v>173</v>
      </c>
      <c r="P87" s="38" t="s">
        <v>173</v>
      </c>
      <c r="Q87" s="38" t="s">
        <v>173</v>
      </c>
      <c r="R87" s="38" t="s">
        <v>173</v>
      </c>
      <c r="S87" s="63" t="s">
        <v>173</v>
      </c>
      <c r="T87" s="45"/>
      <c r="U87" s="45"/>
      <c r="V87" s="45"/>
      <c r="W87" s="45"/>
      <c r="X87" s="45"/>
      <c r="Y87" s="45"/>
      <c r="Z87" s="45"/>
      <c r="AA87" s="45"/>
      <c r="AB87" s="59" t="s">
        <v>173</v>
      </c>
      <c r="AC87" s="59" t="s">
        <v>173</v>
      </c>
      <c r="AD87" s="59" t="s">
        <v>173</v>
      </c>
      <c r="AE87" s="59" t="s">
        <v>173</v>
      </c>
      <c r="AF87" s="59" t="s">
        <v>173</v>
      </c>
      <c r="AG87" s="59" t="s">
        <v>173</v>
      </c>
      <c r="AH87" s="59" t="s">
        <v>173</v>
      </c>
      <c r="AI87" s="59" t="s">
        <v>173</v>
      </c>
      <c r="AJ87" s="59" t="s">
        <v>173</v>
      </c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</row>
    <row r="88" spans="1:49" x14ac:dyDescent="0.25">
      <c r="A88" s="4">
        <v>2025</v>
      </c>
      <c r="B88" s="71">
        <v>0.17</v>
      </c>
      <c r="C88" s="71">
        <v>0.18</v>
      </c>
      <c r="D88" s="71">
        <v>0.22</v>
      </c>
      <c r="E88" s="71">
        <v>0.23</v>
      </c>
      <c r="F88" s="71">
        <v>0.1</v>
      </c>
      <c r="G88" s="71">
        <v>0.1</v>
      </c>
      <c r="H88" s="45"/>
      <c r="I88" s="45"/>
      <c r="J88" s="45"/>
      <c r="K88" s="45"/>
      <c r="L88" s="45"/>
      <c r="M88" s="4">
        <v>2025</v>
      </c>
      <c r="N88" s="62" t="s">
        <v>173</v>
      </c>
      <c r="O88" s="38" t="s">
        <v>173</v>
      </c>
      <c r="P88" s="38" t="s">
        <v>173</v>
      </c>
      <c r="Q88" s="38" t="s">
        <v>173</v>
      </c>
      <c r="R88" s="38" t="s">
        <v>173</v>
      </c>
      <c r="S88" s="63" t="s">
        <v>173</v>
      </c>
      <c r="T88" s="45"/>
      <c r="U88" s="45"/>
      <c r="V88" s="45"/>
      <c r="W88" s="45"/>
      <c r="X88" s="45"/>
      <c r="Y88" s="45"/>
      <c r="Z88" s="45"/>
      <c r="AA88" s="45"/>
      <c r="AB88" s="59" t="s">
        <v>173</v>
      </c>
      <c r="AC88" s="59" t="s">
        <v>173</v>
      </c>
      <c r="AD88" s="59" t="s">
        <v>173</v>
      </c>
      <c r="AE88" s="59" t="s">
        <v>173</v>
      </c>
      <c r="AF88" s="59" t="s">
        <v>173</v>
      </c>
      <c r="AG88" s="59" t="s">
        <v>173</v>
      </c>
      <c r="AH88" s="59" t="s">
        <v>173</v>
      </c>
      <c r="AI88" s="59" t="s">
        <v>173</v>
      </c>
      <c r="AJ88" s="59" t="s">
        <v>173</v>
      </c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</row>
    <row r="89" spans="1:49" x14ac:dyDescent="0.25">
      <c r="A89" s="37">
        <v>2026</v>
      </c>
      <c r="B89" s="72">
        <v>1.4870000000000001E-4</v>
      </c>
      <c r="C89" s="72">
        <v>1.5770000000000001E-4</v>
      </c>
      <c r="D89" s="72">
        <v>1.9340000000000001E-4</v>
      </c>
      <c r="E89" s="72">
        <v>1.9909999999999999E-4</v>
      </c>
      <c r="F89" s="72">
        <v>9.0350000000000001E-5</v>
      </c>
      <c r="G89" s="72">
        <v>9.0350000000000001E-5</v>
      </c>
      <c r="H89" s="45"/>
      <c r="I89" s="45"/>
      <c r="J89" s="45"/>
      <c r="K89" s="45"/>
      <c r="L89" s="45"/>
      <c r="M89" s="37">
        <v>2026</v>
      </c>
      <c r="N89" s="62">
        <v>78666.720000000001</v>
      </c>
      <c r="O89" s="62">
        <v>78666.720000000001</v>
      </c>
      <c r="P89" s="62">
        <v>78666.720000000001</v>
      </c>
      <c r="Q89" s="62">
        <v>78666.715599999996</v>
      </c>
      <c r="R89" s="62">
        <v>78666.720000000001</v>
      </c>
      <c r="S89" s="62">
        <v>78666.720000000001</v>
      </c>
      <c r="T89" s="45"/>
      <c r="U89" s="45"/>
      <c r="V89" s="45"/>
      <c r="W89" s="45"/>
      <c r="X89" s="45"/>
      <c r="Y89" s="45"/>
      <c r="Z89" s="45"/>
      <c r="AA89" s="37">
        <v>2026</v>
      </c>
      <c r="AB89" s="59">
        <v>7.8666719999999999E-3</v>
      </c>
      <c r="AC89" s="59">
        <v>4.7200028999999998E-2</v>
      </c>
      <c r="AD89" s="59">
        <v>4.7199999999999999E-2</v>
      </c>
      <c r="AE89" s="59">
        <v>4.7199999999999999E-2</v>
      </c>
      <c r="AF89" s="59">
        <v>4.7200028999999998E-2</v>
      </c>
      <c r="AG89" s="59">
        <v>4.7199999999999999E-2</v>
      </c>
      <c r="AH89" s="59">
        <v>4.7199999999999999E-2</v>
      </c>
      <c r="AI89" s="59">
        <v>4.7200028999999998E-2</v>
      </c>
      <c r="AJ89" s="59">
        <v>4.7200028999999998E-2</v>
      </c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</row>
    <row r="90" spans="1:49" x14ac:dyDescent="0.25">
      <c r="A90" s="4">
        <v>2027</v>
      </c>
      <c r="B90" s="62">
        <v>1.6281499999999999E-4</v>
      </c>
      <c r="C90" s="62">
        <v>1.74535E-4</v>
      </c>
      <c r="D90" s="62">
        <v>2.08679E-4</v>
      </c>
      <c r="E90" s="62">
        <v>2.1098199999999999E-4</v>
      </c>
      <c r="F90" s="72">
        <v>9.7139500000000001E-5</v>
      </c>
      <c r="G90" s="72">
        <v>9.7139500000000001E-5</v>
      </c>
      <c r="H90" s="45"/>
      <c r="I90" s="45"/>
      <c r="J90" s="45"/>
      <c r="K90" s="45"/>
      <c r="L90" s="45"/>
      <c r="M90" s="4">
        <v>2027</v>
      </c>
      <c r="N90" s="62">
        <v>80235.14</v>
      </c>
      <c r="O90" s="62">
        <v>80235.14</v>
      </c>
      <c r="P90" s="62">
        <v>80235.14</v>
      </c>
      <c r="Q90" s="62">
        <v>80235.137400000007</v>
      </c>
      <c r="R90" s="62">
        <v>80235.14</v>
      </c>
      <c r="S90" s="62">
        <v>80235.14</v>
      </c>
      <c r="T90" s="45"/>
      <c r="U90" s="47" t="s">
        <v>268</v>
      </c>
      <c r="V90" s="48"/>
      <c r="W90" s="48"/>
      <c r="X90" s="48"/>
      <c r="Y90" s="48"/>
      <c r="Z90" s="48"/>
      <c r="AA90" s="4">
        <v>2027</v>
      </c>
      <c r="AB90" s="59">
        <v>8.0235140000000007E-3</v>
      </c>
      <c r="AC90" s="59">
        <v>4.8141082000000002E-2</v>
      </c>
      <c r="AD90" s="59">
        <v>4.8141099999999999E-2</v>
      </c>
      <c r="AE90" s="59">
        <v>4.8141099999999999E-2</v>
      </c>
      <c r="AF90" s="59">
        <v>4.8141082000000002E-2</v>
      </c>
      <c r="AG90" s="59">
        <v>4.8141099999999999E-2</v>
      </c>
      <c r="AH90" s="59">
        <v>4.8141099999999999E-2</v>
      </c>
      <c r="AI90" s="59">
        <v>4.8141082000000002E-2</v>
      </c>
      <c r="AJ90" s="59">
        <v>4.8141082000000002E-2</v>
      </c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</row>
    <row r="91" spans="1:49" x14ac:dyDescent="0.25">
      <c r="A91" s="4">
        <v>2028</v>
      </c>
      <c r="B91" s="62">
        <v>1.77331E-4</v>
      </c>
      <c r="C91" s="62">
        <v>1.9188399999999999E-4</v>
      </c>
      <c r="D91" s="62">
        <v>2.2436099999999999E-4</v>
      </c>
      <c r="E91" s="62">
        <v>2.2318199999999999E-4</v>
      </c>
      <c r="F91" s="62">
        <v>1.0412900000000001E-4</v>
      </c>
      <c r="G91" s="62">
        <v>1.0412900000000001E-4</v>
      </c>
      <c r="H91" s="45"/>
      <c r="I91" s="45"/>
      <c r="J91" s="45"/>
      <c r="K91" s="45"/>
      <c r="L91" s="45"/>
      <c r="M91" s="4">
        <v>2028</v>
      </c>
      <c r="N91" s="62">
        <v>81803.56</v>
      </c>
      <c r="O91" s="62">
        <v>81803.56</v>
      </c>
      <c r="P91" s="62">
        <v>81803.56</v>
      </c>
      <c r="Q91" s="62">
        <v>81803.559200000003</v>
      </c>
      <c r="R91" s="62">
        <v>81803.56</v>
      </c>
      <c r="S91" s="62">
        <v>81803.56</v>
      </c>
      <c r="T91" s="45"/>
      <c r="U91" s="45"/>
      <c r="V91" s="45"/>
      <c r="W91" s="45"/>
      <c r="X91" s="45"/>
      <c r="Y91" s="45"/>
      <c r="Z91" s="45"/>
      <c r="AA91" s="4">
        <v>2028</v>
      </c>
      <c r="AB91" s="59">
        <v>8.1803559999999997E-3</v>
      </c>
      <c r="AC91" s="59">
        <v>4.9082135999999998E-2</v>
      </c>
      <c r="AD91" s="59">
        <v>4.9082099999999997E-2</v>
      </c>
      <c r="AE91" s="59">
        <v>4.9082099999999997E-2</v>
      </c>
      <c r="AF91" s="59">
        <v>4.9082135999999998E-2</v>
      </c>
      <c r="AG91" s="59">
        <v>4.9082099999999997E-2</v>
      </c>
      <c r="AH91" s="59">
        <v>4.9082099999999997E-2</v>
      </c>
      <c r="AI91" s="59">
        <v>4.9082135999999998E-2</v>
      </c>
      <c r="AJ91" s="59">
        <v>4.9082135999999998E-2</v>
      </c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</row>
    <row r="92" spans="1:49" x14ac:dyDescent="0.25">
      <c r="A92" s="4">
        <v>2029</v>
      </c>
      <c r="B92" s="62">
        <v>1.92277E-4</v>
      </c>
      <c r="C92" s="62">
        <v>2.0976299999999999E-4</v>
      </c>
      <c r="D92" s="62">
        <v>2.4048400000000001E-4</v>
      </c>
      <c r="E92" s="62">
        <v>2.35689E-4</v>
      </c>
      <c r="F92" s="62">
        <v>1.1131199999999999E-4</v>
      </c>
      <c r="G92" s="62">
        <v>1.1131199999999999E-4</v>
      </c>
      <c r="H92" s="45"/>
      <c r="I92" s="45"/>
      <c r="J92" s="45"/>
      <c r="K92" s="45"/>
      <c r="L92" s="45"/>
      <c r="M92" s="4">
        <v>2029</v>
      </c>
      <c r="N92" s="62">
        <v>83370.7</v>
      </c>
      <c r="O92" s="62">
        <v>83370.7</v>
      </c>
      <c r="P92" s="62">
        <v>83370.7</v>
      </c>
      <c r="Q92" s="62">
        <v>83370.701700000005</v>
      </c>
      <c r="R92" s="62">
        <v>83370.7</v>
      </c>
      <c r="S92" s="62">
        <v>83370.7</v>
      </c>
      <c r="T92" s="45"/>
      <c r="U92" s="45"/>
      <c r="V92" s="45"/>
      <c r="W92" s="45"/>
      <c r="X92" s="45"/>
      <c r="Y92" s="45"/>
      <c r="Z92" s="45"/>
      <c r="AA92" s="4">
        <v>2029</v>
      </c>
      <c r="AB92" s="59">
        <v>8.3370700000000002E-3</v>
      </c>
      <c r="AC92" s="59">
        <v>5.0022420999999997E-2</v>
      </c>
      <c r="AD92" s="59">
        <v>5.0022400000000002E-2</v>
      </c>
      <c r="AE92" s="59">
        <v>5.0022400000000002E-2</v>
      </c>
      <c r="AF92" s="59">
        <v>5.0022420999999997E-2</v>
      </c>
      <c r="AG92" s="59">
        <v>5.0022400000000002E-2</v>
      </c>
      <c r="AH92" s="59">
        <v>5.0022400000000002E-2</v>
      </c>
      <c r="AI92" s="59">
        <v>5.0022420999999997E-2</v>
      </c>
      <c r="AJ92" s="59">
        <v>5.0022420999999997E-2</v>
      </c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</row>
    <row r="93" spans="1:49" x14ac:dyDescent="0.25">
      <c r="A93" s="4">
        <v>2030</v>
      </c>
      <c r="B93" s="62">
        <v>2.0766200000000001E-4</v>
      </c>
      <c r="C93" s="62">
        <v>2.2818E-4</v>
      </c>
      <c r="D93" s="62">
        <v>2.5705500000000001E-4</v>
      </c>
      <c r="E93" s="62">
        <v>2.4850799999999999E-4</v>
      </c>
      <c r="F93" s="62">
        <v>1.1869199999999999E-4</v>
      </c>
      <c r="G93" s="62">
        <v>1.1869199999999999E-4</v>
      </c>
      <c r="H93" s="45"/>
      <c r="I93" s="45"/>
      <c r="J93" s="45"/>
      <c r="K93" s="45"/>
      <c r="L93" s="45"/>
      <c r="M93" s="4">
        <v>2030</v>
      </c>
      <c r="N93" s="62">
        <v>84939.12</v>
      </c>
      <c r="O93" s="62">
        <v>84939.12</v>
      </c>
      <c r="P93" s="62">
        <v>84939.12</v>
      </c>
      <c r="Q93" s="62">
        <v>84939.123500000002</v>
      </c>
      <c r="R93" s="62">
        <v>84939.12</v>
      </c>
      <c r="S93" s="62">
        <v>84939.12</v>
      </c>
      <c r="T93" s="45"/>
      <c r="U93" s="45"/>
      <c r="V93" s="45"/>
      <c r="W93" s="45"/>
      <c r="X93" s="45"/>
      <c r="Y93" s="45"/>
      <c r="Z93" s="45"/>
      <c r="AA93" s="4">
        <v>2030</v>
      </c>
      <c r="AB93" s="59">
        <v>8.4939119999999993E-3</v>
      </c>
      <c r="AC93" s="59">
        <v>5.0963474000000002E-2</v>
      </c>
      <c r="AD93" s="59">
        <v>5.0963500000000002E-2</v>
      </c>
      <c r="AE93" s="59">
        <v>5.0963500000000002E-2</v>
      </c>
      <c r="AF93" s="59">
        <v>5.0963474000000002E-2</v>
      </c>
      <c r="AG93" s="59">
        <v>5.0963500000000002E-2</v>
      </c>
      <c r="AH93" s="59">
        <v>5.0963500000000002E-2</v>
      </c>
      <c r="AI93" s="59">
        <v>5.0963474000000002E-2</v>
      </c>
      <c r="AJ93" s="59">
        <v>5.0963474000000002E-2</v>
      </c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</row>
    <row r="94" spans="1:49" x14ac:dyDescent="0.25">
      <c r="A94" s="4">
        <v>2031</v>
      </c>
      <c r="B94" s="62">
        <v>1.7613500000000001E-4</v>
      </c>
      <c r="C94" s="62">
        <v>1.9337600000000001E-4</v>
      </c>
      <c r="D94" s="62">
        <v>2.1795699999999999E-4</v>
      </c>
      <c r="E94" s="62">
        <v>2.1005399999999999E-4</v>
      </c>
      <c r="F94" s="72">
        <v>9.9674199999999995E-5</v>
      </c>
      <c r="G94" s="72">
        <v>9.9674199999999995E-5</v>
      </c>
      <c r="H94" s="45"/>
      <c r="I94" s="45"/>
      <c r="J94" s="45"/>
      <c r="K94" s="45"/>
      <c r="L94" s="45"/>
      <c r="M94" s="4">
        <v>2031</v>
      </c>
      <c r="N94" s="62">
        <v>86538.25</v>
      </c>
      <c r="O94" s="62">
        <v>86538.25</v>
      </c>
      <c r="P94" s="62">
        <v>86538.25</v>
      </c>
      <c r="Q94" s="62">
        <v>86538.248500000002</v>
      </c>
      <c r="R94" s="62">
        <v>86538.25</v>
      </c>
      <c r="S94" s="62">
        <v>86538.25</v>
      </c>
      <c r="T94" s="45"/>
      <c r="U94" s="45"/>
      <c r="V94" s="45"/>
      <c r="W94" s="45"/>
      <c r="X94" s="45"/>
      <c r="Y94" s="45"/>
      <c r="Z94" s="45"/>
      <c r="AA94" s="4">
        <v>2031</v>
      </c>
      <c r="AB94" s="59">
        <v>8.6538250000000004E-3</v>
      </c>
      <c r="AC94" s="59">
        <v>5.1922949000000003E-2</v>
      </c>
      <c r="AD94" s="59">
        <v>5.1922900000000001E-2</v>
      </c>
      <c r="AE94" s="59">
        <v>5.1922900000000001E-2</v>
      </c>
      <c r="AF94" s="59">
        <v>5.1922949000000003E-2</v>
      </c>
      <c r="AG94" s="59">
        <v>5.1922900000000001E-2</v>
      </c>
      <c r="AH94" s="59">
        <v>5.1922900000000001E-2</v>
      </c>
      <c r="AI94" s="59">
        <v>5.1922949000000003E-2</v>
      </c>
      <c r="AJ94" s="59">
        <v>5.1922949000000003E-2</v>
      </c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 spans="1:49" x14ac:dyDescent="0.25">
      <c r="A95" s="4">
        <v>2032</v>
      </c>
      <c r="B95" s="62">
        <v>1.4329800000000001E-4</v>
      </c>
      <c r="C95" s="62">
        <v>1.57128E-4</v>
      </c>
      <c r="D95" s="62">
        <v>1.7723500000000001E-4</v>
      </c>
      <c r="E95" s="62">
        <v>1.70006E-4</v>
      </c>
      <c r="F95" s="72">
        <v>7.9871399999999996E-5</v>
      </c>
      <c r="G95" s="72">
        <v>7.9871399999999996E-5</v>
      </c>
      <c r="H95" s="45"/>
      <c r="I95" s="45"/>
      <c r="J95" s="45"/>
      <c r="K95" s="45"/>
      <c r="L95" s="45"/>
      <c r="M95" s="4">
        <v>2032</v>
      </c>
      <c r="N95" s="62">
        <v>88137.37</v>
      </c>
      <c r="O95" s="62">
        <v>88137.37</v>
      </c>
      <c r="P95" s="62">
        <v>88137.37</v>
      </c>
      <c r="Q95" s="62">
        <v>88137.373500000002</v>
      </c>
      <c r="R95" s="62">
        <v>88137.37</v>
      </c>
      <c r="S95" s="62">
        <v>88137.37</v>
      </c>
      <c r="T95" s="45"/>
      <c r="U95" s="45"/>
      <c r="V95" s="45"/>
      <c r="W95" s="45"/>
      <c r="X95" s="45"/>
      <c r="Y95" s="45"/>
      <c r="Z95" s="45"/>
      <c r="AA95" s="4">
        <v>2032</v>
      </c>
      <c r="AB95" s="59">
        <v>8.8137370000000003E-3</v>
      </c>
      <c r="AC95" s="59">
        <v>5.2882423999999997E-2</v>
      </c>
      <c r="AD95" s="59">
        <v>5.2882400000000003E-2</v>
      </c>
      <c r="AE95" s="59">
        <v>5.2882400000000003E-2</v>
      </c>
      <c r="AF95" s="59">
        <v>5.2882423999999997E-2</v>
      </c>
      <c r="AG95" s="59">
        <v>5.2882400000000003E-2</v>
      </c>
      <c r="AH95" s="59">
        <v>5.2882400000000003E-2</v>
      </c>
      <c r="AI95" s="59">
        <v>5.2882423999999997E-2</v>
      </c>
      <c r="AJ95" s="59">
        <v>5.2882423999999997E-2</v>
      </c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</row>
    <row r="96" spans="1:49" x14ac:dyDescent="0.25">
      <c r="A96" s="4">
        <v>2033</v>
      </c>
      <c r="B96" s="62">
        <v>1.09151E-4</v>
      </c>
      <c r="C96" s="62">
        <v>1.19434E-4</v>
      </c>
      <c r="D96" s="62">
        <v>1.34888E-4</v>
      </c>
      <c r="E96" s="62">
        <v>1.2836299999999999E-4</v>
      </c>
      <c r="F96" s="72">
        <v>5.9283200000000002E-5</v>
      </c>
      <c r="G96" s="72">
        <v>5.9283200000000002E-5</v>
      </c>
      <c r="H96" s="45"/>
      <c r="I96" s="45"/>
      <c r="J96" s="45"/>
      <c r="K96" s="45"/>
      <c r="L96" s="45"/>
      <c r="M96" s="4">
        <v>2033</v>
      </c>
      <c r="N96" s="62">
        <v>89736.5</v>
      </c>
      <c r="O96" s="62">
        <v>89736.5</v>
      </c>
      <c r="P96" s="62">
        <v>89736.5</v>
      </c>
      <c r="Q96" s="62">
        <v>89736.498500000002</v>
      </c>
      <c r="R96" s="62">
        <v>89736.5</v>
      </c>
      <c r="S96" s="62">
        <v>89736.5</v>
      </c>
      <c r="T96" s="45"/>
      <c r="U96" s="45"/>
      <c r="V96" s="45"/>
      <c r="W96" s="45"/>
      <c r="X96" s="45"/>
      <c r="Y96" s="45"/>
      <c r="Z96" s="45"/>
      <c r="AA96" s="4">
        <v>2033</v>
      </c>
      <c r="AB96" s="59">
        <v>8.9736499999999997E-3</v>
      </c>
      <c r="AC96" s="59">
        <v>5.3841898999999999E-2</v>
      </c>
      <c r="AD96" s="59">
        <v>5.3841899999999998E-2</v>
      </c>
      <c r="AE96" s="59">
        <v>5.3841899999999998E-2</v>
      </c>
      <c r="AF96" s="59">
        <v>5.3841898999999999E-2</v>
      </c>
      <c r="AG96" s="59">
        <v>5.3841899999999998E-2</v>
      </c>
      <c r="AH96" s="59">
        <v>5.3841899999999998E-2</v>
      </c>
      <c r="AI96" s="59">
        <v>5.3841898999999999E-2</v>
      </c>
      <c r="AJ96" s="59">
        <v>5.3841898999999999E-2</v>
      </c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</row>
    <row r="97" spans="1:49" x14ac:dyDescent="0.25">
      <c r="A97" s="4">
        <v>2034</v>
      </c>
      <c r="B97" s="72">
        <v>7.3694400000000004E-5</v>
      </c>
      <c r="C97" s="72">
        <v>8.0294499999999995E-5</v>
      </c>
      <c r="D97" s="72">
        <v>9.0917199999999997E-5</v>
      </c>
      <c r="E97" s="72">
        <v>8.5125900000000004E-5</v>
      </c>
      <c r="F97" s="72">
        <v>3.7908999999999999E-5</v>
      </c>
      <c r="G97" s="72">
        <v>3.7908999999999999E-5</v>
      </c>
      <c r="H97" s="45"/>
      <c r="I97" s="45"/>
      <c r="J97" s="45"/>
      <c r="K97" s="45"/>
      <c r="L97" s="45"/>
      <c r="M97" s="4">
        <v>2034</v>
      </c>
      <c r="N97" s="62">
        <v>91334.34</v>
      </c>
      <c r="O97" s="62">
        <v>91334.34</v>
      </c>
      <c r="P97" s="62">
        <v>91334.34</v>
      </c>
      <c r="Q97" s="62">
        <v>91334.344200000007</v>
      </c>
      <c r="R97" s="62">
        <v>91334.34</v>
      </c>
      <c r="S97" s="62">
        <v>91334.34</v>
      </c>
      <c r="T97" s="45"/>
      <c r="U97" s="45"/>
      <c r="V97" s="45"/>
      <c r="W97" s="45"/>
      <c r="X97" s="45"/>
      <c r="Y97" s="45"/>
      <c r="Z97" s="45"/>
      <c r="AA97" s="4">
        <v>2034</v>
      </c>
      <c r="AB97" s="59">
        <v>9.1334339999999993E-3</v>
      </c>
      <c r="AC97" s="59">
        <v>5.4800607000000001E-2</v>
      </c>
      <c r="AD97" s="59">
        <v>5.4800599999999998E-2</v>
      </c>
      <c r="AE97" s="59">
        <v>5.4800599999999998E-2</v>
      </c>
      <c r="AF97" s="59">
        <v>5.4800607000000001E-2</v>
      </c>
      <c r="AG97" s="59">
        <v>5.4800599999999998E-2</v>
      </c>
      <c r="AH97" s="59">
        <v>5.4800599999999998E-2</v>
      </c>
      <c r="AI97" s="59">
        <v>5.4800607000000001E-2</v>
      </c>
      <c r="AJ97" s="59">
        <v>5.4800607000000001E-2</v>
      </c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</row>
    <row r="98" spans="1:49" x14ac:dyDescent="0.25">
      <c r="A98" s="4">
        <v>2035</v>
      </c>
      <c r="B98" s="72">
        <v>3.6929299999999999E-5</v>
      </c>
      <c r="C98" s="72">
        <v>3.9711600000000001E-5</v>
      </c>
      <c r="D98" s="72">
        <v>4.5324000000000002E-5</v>
      </c>
      <c r="E98" s="72">
        <v>4.0296200000000002E-5</v>
      </c>
      <c r="F98" s="72">
        <v>1.57502E-5</v>
      </c>
      <c r="G98" s="72">
        <v>1.57502E-5</v>
      </c>
      <c r="H98" s="45"/>
      <c r="I98" s="45"/>
      <c r="J98" s="45"/>
      <c r="K98" s="45"/>
      <c r="L98" s="45"/>
      <c r="M98" s="4">
        <v>2035</v>
      </c>
      <c r="N98" s="62">
        <v>92933.47</v>
      </c>
      <c r="O98" s="62">
        <v>92933.47</v>
      </c>
      <c r="P98" s="62">
        <v>92933.47</v>
      </c>
      <c r="Q98" s="62">
        <v>92933.469200000007</v>
      </c>
      <c r="R98" s="62">
        <v>92933.47</v>
      </c>
      <c r="S98" s="62">
        <v>92933.47</v>
      </c>
      <c r="T98" s="45"/>
      <c r="U98" s="45"/>
      <c r="V98" s="45"/>
      <c r="W98" s="45"/>
      <c r="X98" s="45"/>
      <c r="Y98" s="45"/>
      <c r="Z98" s="45"/>
      <c r="AA98" s="4">
        <v>2035</v>
      </c>
      <c r="AB98" s="59">
        <v>9.2933470000000004E-3</v>
      </c>
      <c r="AC98" s="59">
        <v>5.5760082000000002E-2</v>
      </c>
      <c r="AD98" s="59">
        <v>5.57601E-2</v>
      </c>
      <c r="AE98" s="59">
        <v>5.57601E-2</v>
      </c>
      <c r="AF98" s="59">
        <v>5.5760082000000002E-2</v>
      </c>
      <c r="AG98" s="59">
        <v>5.57601E-2</v>
      </c>
      <c r="AH98" s="59">
        <v>5.57601E-2</v>
      </c>
      <c r="AI98" s="59">
        <v>5.5760082000000002E-2</v>
      </c>
      <c r="AJ98" s="59">
        <v>5.5760082000000002E-2</v>
      </c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</row>
    <row r="99" spans="1:49" x14ac:dyDescent="0.25">
      <c r="A99" s="4">
        <v>2036</v>
      </c>
      <c r="B99" s="72">
        <v>3.4757700000000001E-5</v>
      </c>
      <c r="C99" s="72">
        <v>3.6894999999999998E-5</v>
      </c>
      <c r="D99" s="72">
        <v>4.1325600000000003E-5</v>
      </c>
      <c r="E99" s="72">
        <v>3.6943999999999997E-5</v>
      </c>
      <c r="F99" s="72">
        <v>1.4959200000000001E-5</v>
      </c>
      <c r="G99" s="72">
        <v>1.4959200000000001E-5</v>
      </c>
      <c r="H99" s="45"/>
      <c r="I99" s="45"/>
      <c r="J99" s="45"/>
      <c r="K99" s="45"/>
      <c r="L99" s="45"/>
      <c r="M99" s="4">
        <v>2036</v>
      </c>
      <c r="N99" s="62">
        <v>94532.59</v>
      </c>
      <c r="O99" s="62">
        <v>94532.59</v>
      </c>
      <c r="P99" s="62">
        <v>94532.59</v>
      </c>
      <c r="Q99" s="62">
        <v>94532.594200000007</v>
      </c>
      <c r="R99" s="62">
        <v>94532.59</v>
      </c>
      <c r="S99" s="62">
        <v>94532.59</v>
      </c>
      <c r="T99" s="45"/>
      <c r="U99" s="45"/>
      <c r="V99" s="45"/>
      <c r="W99" s="45"/>
      <c r="X99" s="45"/>
      <c r="Y99" s="45"/>
      <c r="Z99" s="45"/>
      <c r="AA99" s="4">
        <v>2036</v>
      </c>
      <c r="AB99" s="59">
        <v>9.4532590000000003E-3</v>
      </c>
      <c r="AC99" s="59">
        <v>5.6719556999999997E-2</v>
      </c>
      <c r="AD99" s="59">
        <v>5.6719600000000002E-2</v>
      </c>
      <c r="AE99" s="59">
        <v>5.6719600000000002E-2</v>
      </c>
      <c r="AF99" s="59">
        <v>5.6719556999999997E-2</v>
      </c>
      <c r="AG99" s="59">
        <v>5.6719600000000002E-2</v>
      </c>
      <c r="AH99" s="59">
        <v>5.6719600000000002E-2</v>
      </c>
      <c r="AI99" s="59">
        <v>5.6719556999999997E-2</v>
      </c>
      <c r="AJ99" s="59">
        <v>5.6719556999999997E-2</v>
      </c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</row>
    <row r="100" spans="1:49" x14ac:dyDescent="0.25">
      <c r="A100" s="4">
        <v>2037</v>
      </c>
      <c r="B100" s="72">
        <v>3.2491099999999998E-5</v>
      </c>
      <c r="C100" s="72">
        <v>3.39599E-5</v>
      </c>
      <c r="D100" s="72">
        <v>3.7165500000000002E-5</v>
      </c>
      <c r="E100" s="72">
        <v>3.3454999999999997E-5</v>
      </c>
      <c r="F100" s="72">
        <v>1.41322E-5</v>
      </c>
      <c r="G100" s="72">
        <v>1.41322E-5</v>
      </c>
      <c r="H100" s="45"/>
      <c r="I100" s="45"/>
      <c r="J100" s="45"/>
      <c r="K100" s="45"/>
      <c r="L100" s="45"/>
      <c r="M100" s="4">
        <v>2037</v>
      </c>
      <c r="N100" s="62">
        <v>96131.72</v>
      </c>
      <c r="O100" s="62">
        <v>96131.72</v>
      </c>
      <c r="P100" s="62">
        <v>96131.72</v>
      </c>
      <c r="Q100" s="62">
        <v>96131.719200000007</v>
      </c>
      <c r="R100" s="62">
        <v>96131.72</v>
      </c>
      <c r="S100" s="62">
        <v>96131.72</v>
      </c>
      <c r="T100" s="45"/>
      <c r="U100" s="45"/>
      <c r="V100" s="45"/>
      <c r="W100" s="45"/>
      <c r="X100" s="45"/>
      <c r="Y100" s="45"/>
      <c r="Z100" s="45"/>
      <c r="AA100" s="4">
        <v>2037</v>
      </c>
      <c r="AB100" s="59">
        <v>9.6131719999999997E-3</v>
      </c>
      <c r="AC100" s="59">
        <v>5.7679031999999998E-2</v>
      </c>
      <c r="AD100" s="59">
        <v>5.7679000000000001E-2</v>
      </c>
      <c r="AE100" s="59">
        <v>5.7679000000000001E-2</v>
      </c>
      <c r="AF100" s="59">
        <v>5.7679031999999998E-2</v>
      </c>
      <c r="AG100" s="59">
        <v>5.7679000000000001E-2</v>
      </c>
      <c r="AH100" s="59">
        <v>5.7679000000000001E-2</v>
      </c>
      <c r="AI100" s="59">
        <v>5.7679031999999998E-2</v>
      </c>
      <c r="AJ100" s="59">
        <v>5.7679031999999998E-2</v>
      </c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</row>
    <row r="101" spans="1:49" x14ac:dyDescent="0.25">
      <c r="A101" s="4">
        <v>2038</v>
      </c>
      <c r="B101" s="72">
        <v>3.01296E-5</v>
      </c>
      <c r="C101" s="72">
        <v>3.09065E-5</v>
      </c>
      <c r="D101" s="72">
        <v>3.2843799999999999E-5</v>
      </c>
      <c r="E101" s="72">
        <v>2.9829099999999999E-5</v>
      </c>
      <c r="F101" s="72">
        <v>1.32692E-5</v>
      </c>
      <c r="G101" s="72">
        <v>1.32692E-5</v>
      </c>
      <c r="H101" s="45"/>
      <c r="I101" s="45"/>
      <c r="J101" s="45"/>
      <c r="K101" s="45"/>
      <c r="L101" s="45"/>
      <c r="M101" s="4">
        <v>2038</v>
      </c>
      <c r="N101" s="62">
        <v>97730.84</v>
      </c>
      <c r="O101" s="62">
        <v>97730.84</v>
      </c>
      <c r="P101" s="62">
        <v>97730.84</v>
      </c>
      <c r="Q101" s="62">
        <v>97730.844200000007</v>
      </c>
      <c r="R101" s="62">
        <v>97730.84</v>
      </c>
      <c r="S101" s="62">
        <v>97730.84</v>
      </c>
      <c r="T101" s="45"/>
      <c r="U101" s="45"/>
      <c r="V101" s="45"/>
      <c r="W101" s="45"/>
      <c r="X101" s="45"/>
      <c r="Y101" s="45"/>
      <c r="Z101" s="45"/>
      <c r="AA101" s="4">
        <v>2038</v>
      </c>
      <c r="AB101" s="59">
        <v>9.7730839999999996E-3</v>
      </c>
      <c r="AC101" s="59">
        <v>5.8638506999999999E-2</v>
      </c>
      <c r="AD101" s="59">
        <v>5.8638500000000003E-2</v>
      </c>
      <c r="AE101" s="59">
        <v>5.8638500000000003E-2</v>
      </c>
      <c r="AF101" s="59">
        <v>5.8638506999999999E-2</v>
      </c>
      <c r="AG101" s="59">
        <v>5.8638500000000003E-2</v>
      </c>
      <c r="AH101" s="59">
        <v>5.8638500000000003E-2</v>
      </c>
      <c r="AI101" s="59">
        <v>5.8638506999999999E-2</v>
      </c>
      <c r="AJ101" s="59">
        <v>5.8638506999999999E-2</v>
      </c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</row>
    <row r="102" spans="1:49" x14ac:dyDescent="0.25">
      <c r="A102" s="4">
        <v>2039</v>
      </c>
      <c r="B102" s="72">
        <v>2.7673000000000001E-5</v>
      </c>
      <c r="C102" s="72">
        <v>2.77346E-5</v>
      </c>
      <c r="D102" s="72">
        <v>2.83604E-5</v>
      </c>
      <c r="E102" s="72">
        <v>2.6066399999999998E-5</v>
      </c>
      <c r="F102" s="72">
        <v>1.2370300000000001E-5</v>
      </c>
      <c r="G102" s="72">
        <v>1.2370300000000001E-5</v>
      </c>
      <c r="H102" s="45"/>
      <c r="I102" s="45"/>
      <c r="J102" s="45"/>
      <c r="K102" s="45"/>
      <c r="L102" s="45"/>
      <c r="M102" s="4">
        <v>2039</v>
      </c>
      <c r="N102" s="62">
        <v>99329.97</v>
      </c>
      <c r="O102" s="62">
        <v>99329.97</v>
      </c>
      <c r="P102" s="62">
        <v>99329.97</v>
      </c>
      <c r="Q102" s="62">
        <v>99329.969200000007</v>
      </c>
      <c r="R102" s="62">
        <v>99329.97</v>
      </c>
      <c r="S102" s="62">
        <v>99329.97</v>
      </c>
      <c r="T102" s="45"/>
      <c r="U102" s="45"/>
      <c r="V102" s="45"/>
      <c r="W102" s="45"/>
      <c r="X102" s="45"/>
      <c r="Y102" s="45"/>
      <c r="Z102" s="45"/>
      <c r="AA102" s="4">
        <v>2039</v>
      </c>
      <c r="AB102" s="59">
        <v>9.9329970000000007E-3</v>
      </c>
      <c r="AC102" s="59">
        <v>5.9597982000000001E-2</v>
      </c>
      <c r="AD102" s="59">
        <v>5.9597999999999998E-2</v>
      </c>
      <c r="AE102" s="59">
        <v>5.9597999999999998E-2</v>
      </c>
      <c r="AF102" s="59">
        <v>5.9597982000000001E-2</v>
      </c>
      <c r="AG102" s="59">
        <v>5.9597999999999998E-2</v>
      </c>
      <c r="AH102" s="59">
        <v>5.9597999999999998E-2</v>
      </c>
      <c r="AI102" s="59">
        <v>5.9597982000000001E-2</v>
      </c>
      <c r="AJ102" s="59">
        <v>5.9597982000000001E-2</v>
      </c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</row>
    <row r="103" spans="1:49" x14ac:dyDescent="0.25">
      <c r="A103" s="4">
        <v>2040</v>
      </c>
      <c r="B103" s="72">
        <v>2.51216E-5</v>
      </c>
      <c r="C103" s="72">
        <v>2.4444399999999999E-5</v>
      </c>
      <c r="D103" s="72">
        <v>2.37154E-5</v>
      </c>
      <c r="E103" s="72">
        <v>2.2166799999999999E-5</v>
      </c>
      <c r="F103" s="72">
        <v>1.1435499999999999E-5</v>
      </c>
      <c r="G103" s="72">
        <v>1.1435499999999999E-5</v>
      </c>
      <c r="H103" s="45"/>
      <c r="I103" s="45"/>
      <c r="J103" s="45"/>
      <c r="K103" s="45"/>
      <c r="L103" s="45"/>
      <c r="M103" s="4">
        <v>2040</v>
      </c>
      <c r="N103" s="62">
        <v>100929.1</v>
      </c>
      <c r="O103" s="62">
        <v>100929.1</v>
      </c>
      <c r="P103" s="62">
        <v>100929.1</v>
      </c>
      <c r="Q103" s="62">
        <v>100929.09420000001</v>
      </c>
      <c r="R103" s="62">
        <v>100929.1</v>
      </c>
      <c r="S103" s="62">
        <v>100929.1</v>
      </c>
      <c r="T103" s="45"/>
      <c r="U103" s="45"/>
      <c r="V103" s="45"/>
      <c r="W103" s="45"/>
      <c r="X103" s="45"/>
      <c r="Y103" s="45"/>
      <c r="Z103" s="45"/>
      <c r="AA103" s="4">
        <v>2040</v>
      </c>
      <c r="AB103" s="59">
        <v>1.0092909000000001E-2</v>
      </c>
      <c r="AC103" s="59">
        <v>6.0557457000000002E-2</v>
      </c>
      <c r="AD103" s="59">
        <v>6.05575E-2</v>
      </c>
      <c r="AE103" s="59">
        <v>6.05575E-2</v>
      </c>
      <c r="AF103" s="59">
        <v>6.0557457000000002E-2</v>
      </c>
      <c r="AG103" s="59">
        <v>6.05575E-2</v>
      </c>
      <c r="AH103" s="59">
        <v>6.05575E-2</v>
      </c>
      <c r="AI103" s="59">
        <v>6.0557457000000002E-2</v>
      </c>
      <c r="AJ103" s="59">
        <v>6.0557457000000002E-2</v>
      </c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</row>
    <row r="104" spans="1:49" x14ac:dyDescent="0.25">
      <c r="A104" s="4">
        <v>2041</v>
      </c>
      <c r="B104" s="72">
        <v>2.4383700000000002E-5</v>
      </c>
      <c r="C104" s="72">
        <v>2.3556700000000001E-5</v>
      </c>
      <c r="D104" s="72">
        <v>2.40706E-5</v>
      </c>
      <c r="E104" s="72">
        <v>2.2178E-5</v>
      </c>
      <c r="F104" s="72">
        <v>1.10157E-5</v>
      </c>
      <c r="G104" s="72">
        <v>1.10157E-5</v>
      </c>
      <c r="H104" s="45"/>
      <c r="I104" s="45"/>
      <c r="J104" s="45"/>
      <c r="K104" s="45"/>
      <c r="L104" s="45"/>
      <c r="M104" s="4">
        <v>2041</v>
      </c>
      <c r="N104" s="62">
        <v>102732.9</v>
      </c>
      <c r="O104" s="62">
        <v>102732.9</v>
      </c>
      <c r="P104" s="62">
        <v>102732.9</v>
      </c>
      <c r="Q104" s="62">
        <v>102732.9072</v>
      </c>
      <c r="R104" s="62">
        <v>102732.9</v>
      </c>
      <c r="S104" s="62">
        <v>102732.9</v>
      </c>
      <c r="T104" s="45"/>
      <c r="U104" s="45"/>
      <c r="V104" s="45"/>
      <c r="W104" s="45"/>
      <c r="X104" s="45"/>
      <c r="Y104" s="45"/>
      <c r="Z104" s="45"/>
      <c r="AA104" s="4">
        <v>2041</v>
      </c>
      <c r="AB104" s="59">
        <v>1.0273291E-2</v>
      </c>
      <c r="AC104" s="59">
        <v>6.1639744000000003E-2</v>
      </c>
      <c r="AD104" s="59">
        <v>6.1639699999999999E-2</v>
      </c>
      <c r="AE104" s="59">
        <v>6.1639699999999999E-2</v>
      </c>
      <c r="AF104" s="59">
        <v>6.1639744000000003E-2</v>
      </c>
      <c r="AG104" s="59">
        <v>6.1639699999999999E-2</v>
      </c>
      <c r="AH104" s="59">
        <v>6.1639699999999999E-2</v>
      </c>
      <c r="AI104" s="59">
        <v>6.1639744000000003E-2</v>
      </c>
      <c r="AJ104" s="59">
        <v>6.1639744000000003E-2</v>
      </c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</row>
    <row r="105" spans="1:49" x14ac:dyDescent="0.25">
      <c r="A105" s="4">
        <v>2042</v>
      </c>
      <c r="B105" s="72">
        <v>2.36042E-5</v>
      </c>
      <c r="C105" s="72">
        <v>2.2622599999999999E-5</v>
      </c>
      <c r="D105" s="72">
        <v>2.4423400000000001E-5</v>
      </c>
      <c r="E105" s="72">
        <v>2.2175699999999998E-5</v>
      </c>
      <c r="F105" s="72">
        <v>1.0574000000000001E-5</v>
      </c>
      <c r="G105" s="72">
        <v>1.0574000000000001E-5</v>
      </c>
      <c r="H105" s="45"/>
      <c r="I105" s="45"/>
      <c r="J105" s="45"/>
      <c r="K105" s="45"/>
      <c r="L105" s="45"/>
      <c r="M105" s="4">
        <v>2042</v>
      </c>
      <c r="N105" s="62">
        <v>104536.7</v>
      </c>
      <c r="O105" s="62">
        <v>104536.7</v>
      </c>
      <c r="P105" s="62">
        <v>104536.7</v>
      </c>
      <c r="Q105" s="62">
        <v>104536.7202</v>
      </c>
      <c r="R105" s="62">
        <v>104536.7</v>
      </c>
      <c r="S105" s="62">
        <v>104536.7</v>
      </c>
      <c r="T105" s="45"/>
      <c r="U105" s="45"/>
      <c r="V105" s="45"/>
      <c r="W105" s="45"/>
      <c r="X105" s="45"/>
      <c r="Y105" s="45"/>
      <c r="Z105" s="45"/>
      <c r="AA105" s="4">
        <v>2042</v>
      </c>
      <c r="AB105" s="59">
        <v>1.0453672000000001E-2</v>
      </c>
      <c r="AC105" s="59">
        <v>6.2722031999999997E-2</v>
      </c>
      <c r="AD105" s="59">
        <v>6.2722E-2</v>
      </c>
      <c r="AE105" s="59">
        <v>6.2722E-2</v>
      </c>
      <c r="AF105" s="59">
        <v>6.2722031999999997E-2</v>
      </c>
      <c r="AG105" s="59">
        <v>6.2722E-2</v>
      </c>
      <c r="AH105" s="59">
        <v>6.2722E-2</v>
      </c>
      <c r="AI105" s="59">
        <v>6.2722031999999997E-2</v>
      </c>
      <c r="AJ105" s="59">
        <v>6.2722031999999997E-2</v>
      </c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</row>
    <row r="106" spans="1:49" x14ac:dyDescent="0.25">
      <c r="A106" s="4">
        <v>2043</v>
      </c>
      <c r="B106" s="72">
        <v>2.2807600000000002E-5</v>
      </c>
      <c r="C106" s="72">
        <v>2.1665300000000001E-5</v>
      </c>
      <c r="D106" s="72">
        <v>2.4800600000000001E-5</v>
      </c>
      <c r="E106" s="72">
        <v>2.2183899999999999E-5</v>
      </c>
      <c r="F106" s="72">
        <v>1.0121200000000001E-5</v>
      </c>
      <c r="G106" s="72">
        <v>1.0121200000000001E-5</v>
      </c>
      <c r="H106" s="45"/>
      <c r="I106" s="45"/>
      <c r="J106" s="45"/>
      <c r="K106" s="45"/>
      <c r="L106" s="45"/>
      <c r="M106" s="4">
        <v>2043</v>
      </c>
      <c r="N106" s="62">
        <v>106455.7</v>
      </c>
      <c r="O106" s="62">
        <v>106455.7</v>
      </c>
      <c r="P106" s="62">
        <v>106455.7</v>
      </c>
      <c r="Q106" s="62">
        <v>106455.67019999999</v>
      </c>
      <c r="R106" s="62">
        <v>106455.7</v>
      </c>
      <c r="S106" s="62">
        <v>106455.7</v>
      </c>
      <c r="T106" s="45"/>
      <c r="U106" s="45"/>
      <c r="V106" s="45"/>
      <c r="W106" s="45"/>
      <c r="X106" s="45"/>
      <c r="Y106" s="45"/>
      <c r="Z106" s="45"/>
      <c r="AA106" s="4">
        <v>2043</v>
      </c>
      <c r="AB106" s="59">
        <v>1.0645567E-2</v>
      </c>
      <c r="AC106" s="59">
        <v>6.3873401999999996E-2</v>
      </c>
      <c r="AD106" s="59">
        <v>6.3873399999999997E-2</v>
      </c>
      <c r="AE106" s="59">
        <v>6.3873399999999997E-2</v>
      </c>
      <c r="AF106" s="59">
        <v>6.3873401999999996E-2</v>
      </c>
      <c r="AG106" s="59">
        <v>6.3873399999999997E-2</v>
      </c>
      <c r="AH106" s="59">
        <v>6.3873399999999997E-2</v>
      </c>
      <c r="AI106" s="59">
        <v>6.3873401999999996E-2</v>
      </c>
      <c r="AJ106" s="59">
        <v>6.3873401999999996E-2</v>
      </c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</row>
    <row r="107" spans="1:49" x14ac:dyDescent="0.25">
      <c r="A107" s="4">
        <v>2044</v>
      </c>
      <c r="B107" s="72">
        <v>2.1920300000000001E-5</v>
      </c>
      <c r="C107" s="72">
        <v>2.0614900000000001E-5</v>
      </c>
      <c r="D107" s="72">
        <v>2.5122000000000001E-5</v>
      </c>
      <c r="E107" s="72">
        <v>2.2130800000000002E-5</v>
      </c>
      <c r="F107" s="72">
        <v>9.6248199999999994E-6</v>
      </c>
      <c r="G107" s="72">
        <v>9.6248199999999994E-6</v>
      </c>
      <c r="H107" s="45"/>
      <c r="I107" s="45"/>
      <c r="J107" s="45"/>
      <c r="K107" s="45"/>
      <c r="L107" s="45"/>
      <c r="M107" s="4">
        <v>2044</v>
      </c>
      <c r="N107" s="62">
        <v>108145.60000000001</v>
      </c>
      <c r="O107" s="62">
        <v>108145.60000000001</v>
      </c>
      <c r="P107" s="62">
        <v>108145.60000000001</v>
      </c>
      <c r="Q107" s="62">
        <v>108145.62549999999</v>
      </c>
      <c r="R107" s="62">
        <v>108145.60000000001</v>
      </c>
      <c r="S107" s="62">
        <v>108145.60000000001</v>
      </c>
      <c r="T107" s="45"/>
      <c r="U107" s="45"/>
      <c r="V107" s="45"/>
      <c r="W107" s="45"/>
      <c r="X107" s="45"/>
      <c r="Y107" s="45"/>
      <c r="Z107" s="45"/>
      <c r="AA107" s="4">
        <v>2044</v>
      </c>
      <c r="AB107" s="59">
        <v>1.0814562999999999E-2</v>
      </c>
      <c r="AC107" s="59">
        <v>6.4887374999999997E-2</v>
      </c>
      <c r="AD107" s="59">
        <v>6.4887399999999998E-2</v>
      </c>
      <c r="AE107" s="59">
        <v>6.4887399999999998E-2</v>
      </c>
      <c r="AF107" s="59">
        <v>6.4887374999999997E-2</v>
      </c>
      <c r="AG107" s="59">
        <v>6.4887399999999998E-2</v>
      </c>
      <c r="AH107" s="59">
        <v>6.4887399999999998E-2</v>
      </c>
      <c r="AI107" s="59">
        <v>6.4887374999999997E-2</v>
      </c>
      <c r="AJ107" s="59">
        <v>6.4887374999999997E-2</v>
      </c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</row>
    <row r="108" spans="1:49" x14ac:dyDescent="0.25">
      <c r="A108" s="4">
        <v>2045</v>
      </c>
      <c r="B108" s="72">
        <v>2.1015699999999999E-5</v>
      </c>
      <c r="C108" s="72">
        <v>1.9541199999999999E-5</v>
      </c>
      <c r="D108" s="72">
        <v>2.54676E-5</v>
      </c>
      <c r="E108" s="72">
        <v>2.2087899999999999E-5</v>
      </c>
      <c r="F108" s="72">
        <v>9.1172999999999999E-6</v>
      </c>
      <c r="G108" s="72">
        <v>9.1172999999999999E-6</v>
      </c>
      <c r="H108" s="45"/>
      <c r="I108" s="45"/>
      <c r="J108" s="45"/>
      <c r="K108" s="45"/>
      <c r="L108" s="45"/>
      <c r="M108" s="4">
        <v>2045</v>
      </c>
      <c r="N108" s="62">
        <v>109949.4</v>
      </c>
      <c r="O108" s="62">
        <v>109949.4</v>
      </c>
      <c r="P108" s="62">
        <v>109949.4</v>
      </c>
      <c r="Q108" s="62">
        <v>109949.4385</v>
      </c>
      <c r="R108" s="62">
        <v>109949.4</v>
      </c>
      <c r="S108" s="62">
        <v>109949.4</v>
      </c>
      <c r="T108" s="45"/>
      <c r="U108" s="45"/>
      <c r="V108" s="45"/>
      <c r="W108" s="45"/>
      <c r="X108" s="45"/>
      <c r="Y108" s="45"/>
      <c r="Z108" s="45"/>
      <c r="AA108" s="4">
        <v>2045</v>
      </c>
      <c r="AB108" s="59">
        <v>1.0994944E-2</v>
      </c>
      <c r="AC108" s="59">
        <v>6.5969662999999998E-2</v>
      </c>
      <c r="AD108" s="59">
        <v>6.5969700000000006E-2</v>
      </c>
      <c r="AE108" s="59">
        <v>6.5969700000000006E-2</v>
      </c>
      <c r="AF108" s="59">
        <v>6.5969662999999998E-2</v>
      </c>
      <c r="AG108" s="59">
        <v>6.5969700000000006E-2</v>
      </c>
      <c r="AH108" s="59">
        <v>6.5969700000000006E-2</v>
      </c>
      <c r="AI108" s="59">
        <v>6.5969662999999998E-2</v>
      </c>
      <c r="AJ108" s="59">
        <v>6.5969662999999998E-2</v>
      </c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</row>
    <row r="109" spans="1:49" x14ac:dyDescent="0.25">
      <c r="A109" s="4">
        <v>2046</v>
      </c>
      <c r="B109" s="72">
        <v>2.04922E-5</v>
      </c>
      <c r="C109" s="72">
        <v>1.9177999999999998E-5</v>
      </c>
      <c r="D109" s="72">
        <v>2.5058E-5</v>
      </c>
      <c r="E109" s="72">
        <v>2.1879299999999999E-5</v>
      </c>
      <c r="F109" s="72">
        <v>9.1438000000000004E-6</v>
      </c>
      <c r="G109" s="72">
        <v>9.1438000000000004E-6</v>
      </c>
      <c r="H109" s="45"/>
      <c r="I109" s="45"/>
      <c r="J109" s="45"/>
      <c r="K109" s="45"/>
      <c r="L109" s="45"/>
      <c r="M109" s="4">
        <v>2046</v>
      </c>
      <c r="N109" s="62">
        <v>111753.3</v>
      </c>
      <c r="O109" s="62">
        <v>111753.3</v>
      </c>
      <c r="P109" s="62">
        <v>111753.3</v>
      </c>
      <c r="Q109" s="62">
        <v>111753.2515</v>
      </c>
      <c r="R109" s="62">
        <v>111753.3</v>
      </c>
      <c r="S109" s="62">
        <v>111753.3</v>
      </c>
      <c r="T109" s="45"/>
      <c r="U109" s="45" t="s">
        <v>93</v>
      </c>
      <c r="V109" s="45" t="s">
        <v>269</v>
      </c>
      <c r="W109" s="45"/>
      <c r="X109" s="45"/>
      <c r="Y109" s="45"/>
      <c r="Z109" s="45"/>
      <c r="AA109" s="4">
        <v>2046</v>
      </c>
      <c r="AB109" s="59">
        <v>1.1175325E-2</v>
      </c>
      <c r="AC109" s="59">
        <v>6.7051950999999999E-2</v>
      </c>
      <c r="AD109" s="59">
        <v>6.7052E-2</v>
      </c>
      <c r="AE109" s="59">
        <v>6.7052E-2</v>
      </c>
      <c r="AF109" s="59">
        <v>6.7051950999999999E-2</v>
      </c>
      <c r="AG109" s="59">
        <v>6.7052E-2</v>
      </c>
      <c r="AH109" s="59">
        <v>6.7052E-2</v>
      </c>
      <c r="AI109" s="59">
        <v>6.7051950999999999E-2</v>
      </c>
      <c r="AJ109" s="59">
        <v>6.7051950999999999E-2</v>
      </c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</row>
    <row r="110" spans="1:49" x14ac:dyDescent="0.25">
      <c r="A110" s="4">
        <v>2047</v>
      </c>
      <c r="B110" s="72">
        <v>1.99406E-5</v>
      </c>
      <c r="C110" s="72">
        <v>1.8792700000000001E-5</v>
      </c>
      <c r="D110" s="72">
        <v>2.4621699999999998E-5</v>
      </c>
      <c r="E110" s="72">
        <v>2.1652299999999999E-5</v>
      </c>
      <c r="F110" s="72">
        <v>9.1663299999999994E-6</v>
      </c>
      <c r="G110" s="72">
        <v>9.1663299999999994E-6</v>
      </c>
      <c r="H110" s="45"/>
      <c r="I110" s="45"/>
      <c r="J110" s="45"/>
      <c r="K110" s="45"/>
      <c r="L110" s="45"/>
      <c r="M110" s="4">
        <v>2047</v>
      </c>
      <c r="N110" s="62">
        <v>113557.1</v>
      </c>
      <c r="O110" s="62">
        <v>113557.1</v>
      </c>
      <c r="P110" s="62">
        <v>113557.1</v>
      </c>
      <c r="Q110" s="62">
        <v>113557.06449999999</v>
      </c>
      <c r="R110" s="62">
        <v>113557.1</v>
      </c>
      <c r="S110" s="62">
        <v>113557.1</v>
      </c>
      <c r="T110" s="45"/>
      <c r="U110" s="45"/>
      <c r="V110" s="45"/>
      <c r="W110" s="45"/>
      <c r="X110" s="45"/>
      <c r="Y110" s="45"/>
      <c r="Z110" s="45"/>
      <c r="AA110" s="4">
        <v>2047</v>
      </c>
      <c r="AB110" s="59">
        <v>1.1355706E-2</v>
      </c>
      <c r="AC110" s="59">
        <v>6.8134238999999999E-2</v>
      </c>
      <c r="AD110" s="59">
        <v>6.8134200000000006E-2</v>
      </c>
      <c r="AE110" s="59">
        <v>6.8134200000000006E-2</v>
      </c>
      <c r="AF110" s="59">
        <v>6.8134238999999999E-2</v>
      </c>
      <c r="AG110" s="59">
        <v>6.8134200000000006E-2</v>
      </c>
      <c r="AH110" s="59">
        <v>6.8134200000000006E-2</v>
      </c>
      <c r="AI110" s="59">
        <v>6.8134238999999999E-2</v>
      </c>
      <c r="AJ110" s="59">
        <v>6.8134238999999999E-2</v>
      </c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</row>
    <row r="111" spans="1:49" x14ac:dyDescent="0.25">
      <c r="A111" s="4">
        <v>2048</v>
      </c>
      <c r="B111" s="72">
        <v>1.93612E-5</v>
      </c>
      <c r="C111" s="72">
        <v>1.8385499999999999E-5</v>
      </c>
      <c r="D111" s="72">
        <v>2.4159E-5</v>
      </c>
      <c r="E111" s="72">
        <v>2.14071E-5</v>
      </c>
      <c r="F111" s="72">
        <v>9.1849900000000003E-6</v>
      </c>
      <c r="G111" s="72">
        <v>9.1849900000000003E-6</v>
      </c>
      <c r="H111" s="45"/>
      <c r="I111" s="45"/>
      <c r="J111" s="45"/>
      <c r="K111" s="45"/>
      <c r="L111" s="45"/>
      <c r="M111" s="4">
        <v>2048</v>
      </c>
      <c r="N111" s="62">
        <v>115362.2</v>
      </c>
      <c r="O111" s="62">
        <v>115362.2</v>
      </c>
      <c r="P111" s="62">
        <v>115362.2</v>
      </c>
      <c r="Q111" s="62">
        <v>115362.1568</v>
      </c>
      <c r="R111" s="62">
        <v>115362.2</v>
      </c>
      <c r="S111" s="62">
        <v>115362.2</v>
      </c>
      <c r="T111" s="45"/>
      <c r="U111" s="45"/>
      <c r="V111" s="45"/>
      <c r="W111" s="45"/>
      <c r="X111" s="45"/>
      <c r="Y111" s="45"/>
      <c r="Z111" s="45"/>
      <c r="AA111" s="4">
        <v>2048</v>
      </c>
      <c r="AB111" s="59">
        <v>1.1536216E-2</v>
      </c>
      <c r="AC111" s="59">
        <v>6.9217293999999999E-2</v>
      </c>
      <c r="AD111" s="59">
        <v>6.9217299999999995E-2</v>
      </c>
      <c r="AE111" s="59">
        <v>6.9217299999999995E-2</v>
      </c>
      <c r="AF111" s="59">
        <v>6.9217293999999999E-2</v>
      </c>
      <c r="AG111" s="59">
        <v>6.9217299999999995E-2</v>
      </c>
      <c r="AH111" s="59">
        <v>6.9217299999999995E-2</v>
      </c>
      <c r="AI111" s="59">
        <v>6.9217293999999999E-2</v>
      </c>
      <c r="AJ111" s="59">
        <v>6.9217293999999999E-2</v>
      </c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</row>
    <row r="112" spans="1:49" x14ac:dyDescent="0.25">
      <c r="A112" s="4">
        <v>2049</v>
      </c>
      <c r="B112" s="72">
        <v>1.8753499999999999E-5</v>
      </c>
      <c r="C112" s="72">
        <v>1.7956099999999999E-5</v>
      </c>
      <c r="D112" s="72">
        <v>2.3669300000000001E-5</v>
      </c>
      <c r="E112" s="72">
        <v>2.1143200000000001E-5</v>
      </c>
      <c r="F112" s="72">
        <v>9.1995700000000004E-6</v>
      </c>
      <c r="G112" s="72">
        <v>9.1995700000000004E-6</v>
      </c>
      <c r="H112" s="45"/>
      <c r="I112" s="45"/>
      <c r="J112" s="45"/>
      <c r="K112" s="45"/>
      <c r="L112" s="45"/>
      <c r="M112" s="4">
        <v>2049</v>
      </c>
      <c r="N112" s="62">
        <v>117166</v>
      </c>
      <c r="O112" s="62">
        <v>117166</v>
      </c>
      <c r="P112" s="62">
        <v>117166</v>
      </c>
      <c r="Q112" s="62">
        <v>117165.96980000001</v>
      </c>
      <c r="R112" s="62">
        <v>117166</v>
      </c>
      <c r="S112" s="62">
        <v>117166</v>
      </c>
      <c r="T112" s="45"/>
      <c r="U112" s="45"/>
      <c r="V112" s="45"/>
      <c r="W112" s="45"/>
      <c r="X112" s="45"/>
      <c r="Y112" s="45"/>
      <c r="Z112" s="45"/>
      <c r="AA112" s="4">
        <v>2049</v>
      </c>
      <c r="AB112" s="59">
        <v>1.1716597E-2</v>
      </c>
      <c r="AC112" s="59">
        <v>7.0299581999999999E-2</v>
      </c>
      <c r="AD112" s="59">
        <v>7.0299600000000004E-2</v>
      </c>
      <c r="AE112" s="59">
        <v>7.0299600000000004E-2</v>
      </c>
      <c r="AF112" s="59">
        <v>7.0299581999999999E-2</v>
      </c>
      <c r="AG112" s="59">
        <v>7.0299600000000004E-2</v>
      </c>
      <c r="AH112" s="59">
        <v>7.0299600000000004E-2</v>
      </c>
      <c r="AI112" s="59">
        <v>7.0299581999999999E-2</v>
      </c>
      <c r="AJ112" s="59">
        <v>7.0299581999999999E-2</v>
      </c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 spans="1:49" x14ac:dyDescent="0.25">
      <c r="A113" s="4">
        <v>2050</v>
      </c>
      <c r="B113" s="72">
        <v>1.8117900000000001E-5</v>
      </c>
      <c r="C113" s="72">
        <v>1.7504599999999998E-5</v>
      </c>
      <c r="D113" s="72">
        <v>2.31529E-5</v>
      </c>
      <c r="E113" s="72">
        <v>2.0860899999999999E-5</v>
      </c>
      <c r="F113" s="72">
        <v>9.2101800000000006E-6</v>
      </c>
      <c r="G113" s="72">
        <v>9.2101800000000006E-6</v>
      </c>
      <c r="H113" s="45"/>
      <c r="I113" s="45"/>
      <c r="J113" s="45"/>
      <c r="K113" s="45"/>
      <c r="L113" s="45"/>
      <c r="M113" s="4">
        <v>2050</v>
      </c>
      <c r="N113" s="62">
        <v>118969.8</v>
      </c>
      <c r="O113" s="62">
        <v>118969.8</v>
      </c>
      <c r="P113" s="62">
        <v>118969.8</v>
      </c>
      <c r="Q113" s="62">
        <v>118969.7828</v>
      </c>
      <c r="R113" s="62">
        <v>118969.8</v>
      </c>
      <c r="S113" s="62">
        <v>118969.8</v>
      </c>
      <c r="T113" s="45"/>
      <c r="U113" s="45"/>
      <c r="V113" s="45"/>
      <c r="W113" s="45"/>
      <c r="X113" s="45"/>
      <c r="Y113" s="45"/>
      <c r="Z113" s="45"/>
      <c r="AA113" s="4">
        <v>2050</v>
      </c>
      <c r="AB113" s="59">
        <v>1.1896978000000001E-2</v>
      </c>
      <c r="AC113" s="59">
        <v>7.138187E-2</v>
      </c>
      <c r="AD113" s="59">
        <v>7.1381899999999998E-2</v>
      </c>
      <c r="AE113" s="59">
        <v>7.1381899999999998E-2</v>
      </c>
      <c r="AF113" s="59">
        <v>7.138187E-2</v>
      </c>
      <c r="AG113" s="59">
        <v>7.1381899999999998E-2</v>
      </c>
      <c r="AH113" s="59">
        <v>7.1381899999999998E-2</v>
      </c>
      <c r="AI113" s="59">
        <v>7.138187E-2</v>
      </c>
      <c r="AJ113" s="59">
        <v>7.138187E-2</v>
      </c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</row>
    <row r="114" spans="1:49" x14ac:dyDescent="0.25">
      <c r="A114" s="4">
        <v>2051</v>
      </c>
      <c r="B114" s="73">
        <v>1.8117900000000001E-5</v>
      </c>
      <c r="C114" s="74">
        <v>1.7504599999999998E-5</v>
      </c>
      <c r="D114" s="74">
        <v>2.31529E-5</v>
      </c>
      <c r="E114" s="74">
        <v>2.0860899999999999E-5</v>
      </c>
      <c r="F114" s="74">
        <v>9.2101800000000006E-6</v>
      </c>
      <c r="G114" s="75">
        <v>9.2101800000000006E-6</v>
      </c>
      <c r="H114" s="45"/>
      <c r="I114" s="45"/>
      <c r="J114" s="45"/>
      <c r="K114" s="45"/>
      <c r="L114" s="45"/>
      <c r="M114" s="4"/>
      <c r="N114" s="38" t="s">
        <v>173</v>
      </c>
      <c r="O114" s="38" t="s">
        <v>173</v>
      </c>
      <c r="P114" s="38" t="s">
        <v>173</v>
      </c>
      <c r="Q114" s="38" t="s">
        <v>173</v>
      </c>
      <c r="R114" s="38" t="s">
        <v>173</v>
      </c>
      <c r="S114" s="38" t="s">
        <v>173</v>
      </c>
      <c r="T114" s="45"/>
      <c r="U114" s="45"/>
      <c r="V114" s="45"/>
      <c r="W114" s="45"/>
      <c r="X114" s="45"/>
      <c r="Y114" s="45"/>
      <c r="Z114" s="45"/>
      <c r="AA114" s="45"/>
      <c r="AB114" s="69">
        <v>1.1896978000000001E-2</v>
      </c>
      <c r="AC114" s="69">
        <v>7.138187E-2</v>
      </c>
      <c r="AD114" s="69">
        <v>7.1381899999999998E-2</v>
      </c>
      <c r="AE114" s="69">
        <v>7.1381899999999998E-2</v>
      </c>
      <c r="AF114" s="69">
        <v>7.138187E-2</v>
      </c>
      <c r="AG114" s="69">
        <v>7.1381899999999998E-2</v>
      </c>
      <c r="AH114" s="69">
        <v>7.1381899999999998E-2</v>
      </c>
      <c r="AI114" s="69">
        <v>7.138187E-2</v>
      </c>
      <c r="AJ114" s="69">
        <v>7.138187E-2</v>
      </c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</row>
    <row r="115" spans="1:49" x14ac:dyDescent="0.25">
      <c r="A115" s="4">
        <v>2052</v>
      </c>
      <c r="B115" s="73">
        <v>1.8117900000000001E-5</v>
      </c>
      <c r="C115" s="74">
        <v>1.7504599999999998E-5</v>
      </c>
      <c r="D115" s="74">
        <v>2.31529E-5</v>
      </c>
      <c r="E115" s="74">
        <v>2.0860899999999999E-5</v>
      </c>
      <c r="F115" s="74">
        <v>9.2101800000000006E-6</v>
      </c>
      <c r="G115" s="75">
        <v>9.2101800000000006E-6</v>
      </c>
      <c r="H115" s="45"/>
      <c r="I115" s="45"/>
      <c r="J115" s="45"/>
      <c r="K115" s="45"/>
      <c r="L115" s="45"/>
      <c r="M115" s="4"/>
      <c r="N115" s="38" t="s">
        <v>173</v>
      </c>
      <c r="O115" s="38" t="s">
        <v>173</v>
      </c>
      <c r="P115" s="38" t="s">
        <v>173</v>
      </c>
      <c r="Q115" s="38" t="s">
        <v>173</v>
      </c>
      <c r="R115" s="38" t="s">
        <v>173</v>
      </c>
      <c r="S115" s="38" t="s">
        <v>173</v>
      </c>
      <c r="T115" s="45"/>
      <c r="U115" s="45"/>
      <c r="V115" s="45"/>
      <c r="W115" s="45"/>
      <c r="X115" s="45"/>
      <c r="Y115" s="45"/>
      <c r="Z115" s="45"/>
      <c r="AA115" s="45"/>
      <c r="AB115" s="69">
        <v>1.1896978000000001E-2</v>
      </c>
      <c r="AC115" s="69">
        <v>7.138187E-2</v>
      </c>
      <c r="AD115" s="69">
        <v>7.1381899999999998E-2</v>
      </c>
      <c r="AE115" s="69">
        <v>7.1381899999999998E-2</v>
      </c>
      <c r="AF115" s="69">
        <v>7.138187E-2</v>
      </c>
      <c r="AG115" s="69">
        <v>7.1381899999999998E-2</v>
      </c>
      <c r="AH115" s="69">
        <v>7.1381899999999998E-2</v>
      </c>
      <c r="AI115" s="69">
        <v>7.138187E-2</v>
      </c>
      <c r="AJ115" s="69">
        <v>7.138187E-2</v>
      </c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</row>
    <row r="116" spans="1:49" x14ac:dyDescent="0.25">
      <c r="A116" s="4">
        <v>2053</v>
      </c>
      <c r="B116" s="73">
        <v>1.8117900000000001E-5</v>
      </c>
      <c r="C116" s="74">
        <v>1.7504599999999998E-5</v>
      </c>
      <c r="D116" s="74">
        <v>2.31529E-5</v>
      </c>
      <c r="E116" s="74">
        <v>2.0860899999999999E-5</v>
      </c>
      <c r="F116" s="74">
        <v>9.2101800000000006E-6</v>
      </c>
      <c r="G116" s="75">
        <v>9.2101800000000006E-6</v>
      </c>
      <c r="H116" s="45"/>
      <c r="I116" s="45"/>
      <c r="J116" s="45"/>
      <c r="K116" s="45"/>
      <c r="L116" s="45"/>
      <c r="M116" s="4"/>
      <c r="N116" s="38" t="s">
        <v>173</v>
      </c>
      <c r="O116" s="38" t="s">
        <v>173</v>
      </c>
      <c r="P116" s="38" t="s">
        <v>173</v>
      </c>
      <c r="Q116" s="38" t="s">
        <v>173</v>
      </c>
      <c r="R116" s="38" t="s">
        <v>173</v>
      </c>
      <c r="S116" s="38" t="s">
        <v>173</v>
      </c>
      <c r="T116" s="45"/>
      <c r="U116" s="45"/>
      <c r="V116" s="45"/>
      <c r="W116" s="45"/>
      <c r="X116" s="45"/>
      <c r="Y116" s="45"/>
      <c r="Z116" s="45"/>
      <c r="AA116" s="45"/>
      <c r="AB116" s="69">
        <v>1.1896978000000001E-2</v>
      </c>
      <c r="AC116" s="69">
        <v>7.138187E-2</v>
      </c>
      <c r="AD116" s="69">
        <v>7.1381899999999998E-2</v>
      </c>
      <c r="AE116" s="69">
        <v>7.1381899999999998E-2</v>
      </c>
      <c r="AF116" s="69">
        <v>7.138187E-2</v>
      </c>
      <c r="AG116" s="69">
        <v>7.1381899999999998E-2</v>
      </c>
      <c r="AH116" s="69">
        <v>7.1381899999999998E-2</v>
      </c>
      <c r="AI116" s="69">
        <v>7.138187E-2</v>
      </c>
      <c r="AJ116" s="69">
        <v>7.138187E-2</v>
      </c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</row>
    <row r="117" spans="1:49" x14ac:dyDescent="0.25">
      <c r="A117" s="4">
        <v>2054</v>
      </c>
      <c r="B117" s="73">
        <v>1.8117900000000001E-5</v>
      </c>
      <c r="C117" s="74">
        <v>1.7504599999999998E-5</v>
      </c>
      <c r="D117" s="74">
        <v>2.31529E-5</v>
      </c>
      <c r="E117" s="74">
        <v>2.0860899999999999E-5</v>
      </c>
      <c r="F117" s="74">
        <v>9.2101800000000006E-6</v>
      </c>
      <c r="G117" s="75">
        <v>9.2101800000000006E-6</v>
      </c>
      <c r="H117" s="45"/>
      <c r="I117" s="45"/>
      <c r="J117" s="45"/>
      <c r="K117" s="45"/>
      <c r="L117" s="45"/>
      <c r="M117" s="4"/>
      <c r="N117" s="38" t="s">
        <v>173</v>
      </c>
      <c r="O117" s="38" t="s">
        <v>173</v>
      </c>
      <c r="P117" s="38" t="s">
        <v>173</v>
      </c>
      <c r="Q117" s="38" t="s">
        <v>173</v>
      </c>
      <c r="R117" s="38" t="s">
        <v>173</v>
      </c>
      <c r="S117" s="38" t="s">
        <v>173</v>
      </c>
      <c r="T117" s="45"/>
      <c r="U117" s="45"/>
      <c r="V117" s="45"/>
      <c r="W117" s="45"/>
      <c r="X117" s="45"/>
      <c r="Y117" s="45"/>
      <c r="Z117" s="45"/>
      <c r="AA117" s="45"/>
      <c r="AB117" s="69">
        <v>1.1896978000000001E-2</v>
      </c>
      <c r="AC117" s="69">
        <v>7.138187E-2</v>
      </c>
      <c r="AD117" s="69">
        <v>7.1381899999999998E-2</v>
      </c>
      <c r="AE117" s="69">
        <v>7.1381899999999998E-2</v>
      </c>
      <c r="AF117" s="69">
        <v>7.138187E-2</v>
      </c>
      <c r="AG117" s="69">
        <v>7.1381899999999998E-2</v>
      </c>
      <c r="AH117" s="69">
        <v>7.1381899999999998E-2</v>
      </c>
      <c r="AI117" s="69">
        <v>7.138187E-2</v>
      </c>
      <c r="AJ117" s="69">
        <v>7.138187E-2</v>
      </c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</row>
    <row r="118" spans="1:49" x14ac:dyDescent="0.25">
      <c r="A118" s="4">
        <v>2055</v>
      </c>
      <c r="B118" s="73">
        <v>1.8117900000000001E-5</v>
      </c>
      <c r="C118" s="74">
        <v>1.7504599999999998E-5</v>
      </c>
      <c r="D118" s="74">
        <v>2.31529E-5</v>
      </c>
      <c r="E118" s="74">
        <v>2.0860899999999999E-5</v>
      </c>
      <c r="F118" s="74">
        <v>9.2101800000000006E-6</v>
      </c>
      <c r="G118" s="75">
        <v>9.2101800000000006E-6</v>
      </c>
      <c r="H118" s="45"/>
      <c r="I118" s="45"/>
      <c r="J118" s="45"/>
      <c r="K118" s="45"/>
      <c r="L118" s="45"/>
      <c r="M118" s="4"/>
      <c r="N118" s="38" t="s">
        <v>173</v>
      </c>
      <c r="O118" s="38" t="s">
        <v>173</v>
      </c>
      <c r="P118" s="38" t="s">
        <v>173</v>
      </c>
      <c r="Q118" s="38" t="s">
        <v>173</v>
      </c>
      <c r="R118" s="38" t="s">
        <v>173</v>
      </c>
      <c r="S118" s="38" t="s">
        <v>173</v>
      </c>
      <c r="T118" s="45"/>
      <c r="U118" s="45"/>
      <c r="V118" s="45"/>
      <c r="W118" s="45"/>
      <c r="X118" s="45"/>
      <c r="Y118" s="45"/>
      <c r="Z118" s="45"/>
      <c r="AA118" s="45"/>
      <c r="AB118" s="69">
        <v>1.1896978000000001E-2</v>
      </c>
      <c r="AC118" s="69">
        <v>7.138187E-2</v>
      </c>
      <c r="AD118" s="69">
        <v>7.1381899999999998E-2</v>
      </c>
      <c r="AE118" s="69">
        <v>7.1381899999999998E-2</v>
      </c>
      <c r="AF118" s="69">
        <v>7.138187E-2</v>
      </c>
      <c r="AG118" s="69">
        <v>7.1381899999999998E-2</v>
      </c>
      <c r="AH118" s="69">
        <v>7.1381899999999998E-2</v>
      </c>
      <c r="AI118" s="69">
        <v>7.138187E-2</v>
      </c>
      <c r="AJ118" s="69">
        <v>7.138187E-2</v>
      </c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</row>
    <row r="119" spans="1:49" x14ac:dyDescent="0.25">
      <c r="A119" s="4">
        <v>2056</v>
      </c>
      <c r="B119" s="73">
        <v>1.8117900000000001E-5</v>
      </c>
      <c r="C119" s="74">
        <v>1.7504599999999998E-5</v>
      </c>
      <c r="D119" s="74">
        <v>2.31529E-5</v>
      </c>
      <c r="E119" s="74">
        <v>2.0860899999999999E-5</v>
      </c>
      <c r="F119" s="74">
        <v>9.2101800000000006E-6</v>
      </c>
      <c r="G119" s="75">
        <v>9.2101800000000006E-6</v>
      </c>
      <c r="H119" s="45"/>
      <c r="I119" s="45"/>
      <c r="J119" s="45"/>
      <c r="K119" s="45"/>
      <c r="L119" s="45"/>
      <c r="M119" s="4"/>
      <c r="N119" s="38" t="s">
        <v>173</v>
      </c>
      <c r="O119" s="38" t="s">
        <v>173</v>
      </c>
      <c r="P119" s="38" t="s">
        <v>173</v>
      </c>
      <c r="Q119" s="38" t="s">
        <v>173</v>
      </c>
      <c r="R119" s="38" t="s">
        <v>173</v>
      </c>
      <c r="S119" s="38" t="s">
        <v>173</v>
      </c>
      <c r="T119" s="45"/>
      <c r="U119" s="45"/>
      <c r="V119" s="45"/>
      <c r="W119" s="45"/>
      <c r="X119" s="45"/>
      <c r="Y119" s="45"/>
      <c r="Z119" s="45"/>
      <c r="AA119" s="45"/>
      <c r="AB119" s="69">
        <v>1.1896978000000001E-2</v>
      </c>
      <c r="AC119" s="69">
        <v>7.138187E-2</v>
      </c>
      <c r="AD119" s="69">
        <v>7.1381899999999998E-2</v>
      </c>
      <c r="AE119" s="69">
        <v>7.1381899999999998E-2</v>
      </c>
      <c r="AF119" s="69">
        <v>7.138187E-2</v>
      </c>
      <c r="AG119" s="69">
        <v>7.1381899999999998E-2</v>
      </c>
      <c r="AH119" s="69">
        <v>7.1381899999999998E-2</v>
      </c>
      <c r="AI119" s="69">
        <v>7.138187E-2</v>
      </c>
      <c r="AJ119" s="69">
        <v>7.138187E-2</v>
      </c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</row>
    <row r="120" spans="1:49" x14ac:dyDescent="0.25">
      <c r="A120" s="4">
        <v>2057</v>
      </c>
      <c r="B120" s="73">
        <v>1.8117900000000001E-5</v>
      </c>
      <c r="C120" s="74">
        <v>1.7504599999999998E-5</v>
      </c>
      <c r="D120" s="74">
        <v>2.31529E-5</v>
      </c>
      <c r="E120" s="74">
        <v>2.0860899999999999E-5</v>
      </c>
      <c r="F120" s="74">
        <v>9.2101800000000006E-6</v>
      </c>
      <c r="G120" s="75">
        <v>9.2101800000000006E-6</v>
      </c>
      <c r="H120" s="45"/>
      <c r="I120" s="45"/>
      <c r="J120" s="45"/>
      <c r="K120" s="45"/>
      <c r="L120" s="45"/>
      <c r="M120" s="4"/>
      <c r="N120" s="38" t="s">
        <v>173</v>
      </c>
      <c r="O120" s="38" t="s">
        <v>173</v>
      </c>
      <c r="P120" s="38" t="s">
        <v>173</v>
      </c>
      <c r="Q120" s="38" t="s">
        <v>173</v>
      </c>
      <c r="R120" s="38" t="s">
        <v>173</v>
      </c>
      <c r="S120" s="38" t="s">
        <v>173</v>
      </c>
      <c r="T120" s="45"/>
      <c r="U120" s="45"/>
      <c r="V120" s="45"/>
      <c r="W120" s="45"/>
      <c r="X120" s="45"/>
      <c r="Y120" s="45"/>
      <c r="Z120" s="45"/>
      <c r="AA120" s="45"/>
      <c r="AB120" s="69">
        <v>1.1896978000000001E-2</v>
      </c>
      <c r="AC120" s="69">
        <v>7.138187E-2</v>
      </c>
      <c r="AD120" s="69">
        <v>7.1381899999999998E-2</v>
      </c>
      <c r="AE120" s="69">
        <v>7.1381899999999998E-2</v>
      </c>
      <c r="AF120" s="69">
        <v>7.138187E-2</v>
      </c>
      <c r="AG120" s="69">
        <v>7.1381899999999998E-2</v>
      </c>
      <c r="AH120" s="69">
        <v>7.1381899999999998E-2</v>
      </c>
      <c r="AI120" s="69">
        <v>7.138187E-2</v>
      </c>
      <c r="AJ120" s="69">
        <v>7.138187E-2</v>
      </c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</row>
    <row r="121" spans="1:49" x14ac:dyDescent="0.25">
      <c r="A121" s="4">
        <v>2058</v>
      </c>
      <c r="B121" s="73">
        <v>1.8117900000000001E-5</v>
      </c>
      <c r="C121" s="74">
        <v>1.7504599999999998E-5</v>
      </c>
      <c r="D121" s="74">
        <v>2.31529E-5</v>
      </c>
      <c r="E121" s="74">
        <v>2.0860899999999999E-5</v>
      </c>
      <c r="F121" s="74">
        <v>9.2101800000000006E-6</v>
      </c>
      <c r="G121" s="75">
        <v>9.2101800000000006E-6</v>
      </c>
      <c r="H121" s="45"/>
      <c r="I121" s="45"/>
      <c r="J121" s="45"/>
      <c r="K121" s="45"/>
      <c r="L121" s="45"/>
      <c r="M121" s="4"/>
      <c r="N121" s="38" t="s">
        <v>173</v>
      </c>
      <c r="O121" s="38" t="s">
        <v>173</v>
      </c>
      <c r="P121" s="38" t="s">
        <v>173</v>
      </c>
      <c r="Q121" s="38" t="s">
        <v>173</v>
      </c>
      <c r="R121" s="38" t="s">
        <v>173</v>
      </c>
      <c r="S121" s="38" t="s">
        <v>173</v>
      </c>
      <c r="T121" s="45"/>
      <c r="U121" s="45"/>
      <c r="V121" s="45"/>
      <c r="W121" s="45"/>
      <c r="X121" s="45"/>
      <c r="Y121" s="45"/>
      <c r="Z121" s="45"/>
      <c r="AA121" s="45"/>
      <c r="AB121" s="69">
        <v>1.1896978000000001E-2</v>
      </c>
      <c r="AC121" s="69">
        <v>7.138187E-2</v>
      </c>
      <c r="AD121" s="69">
        <v>7.1381899999999998E-2</v>
      </c>
      <c r="AE121" s="69">
        <v>7.1381899999999998E-2</v>
      </c>
      <c r="AF121" s="69">
        <v>7.138187E-2</v>
      </c>
      <c r="AG121" s="69">
        <v>7.1381899999999998E-2</v>
      </c>
      <c r="AH121" s="69">
        <v>7.1381899999999998E-2</v>
      </c>
      <c r="AI121" s="69">
        <v>7.138187E-2</v>
      </c>
      <c r="AJ121" s="69">
        <v>7.138187E-2</v>
      </c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</row>
    <row r="122" spans="1:49" x14ac:dyDescent="0.25">
      <c r="A122" s="4">
        <v>2059</v>
      </c>
      <c r="B122" s="73">
        <v>1.8117900000000001E-5</v>
      </c>
      <c r="C122" s="74">
        <v>1.7504599999999998E-5</v>
      </c>
      <c r="D122" s="74">
        <v>2.31529E-5</v>
      </c>
      <c r="E122" s="74">
        <v>2.0860899999999999E-5</v>
      </c>
      <c r="F122" s="74">
        <v>9.2101800000000006E-6</v>
      </c>
      <c r="G122" s="75">
        <v>9.2101800000000006E-6</v>
      </c>
      <c r="H122" s="45"/>
      <c r="I122" s="45"/>
      <c r="J122" s="45"/>
      <c r="K122" s="45"/>
      <c r="L122" s="45"/>
      <c r="M122" s="4"/>
      <c r="N122" s="38" t="s">
        <v>173</v>
      </c>
      <c r="O122" s="38" t="s">
        <v>173</v>
      </c>
      <c r="P122" s="38" t="s">
        <v>173</v>
      </c>
      <c r="Q122" s="38" t="s">
        <v>173</v>
      </c>
      <c r="R122" s="38" t="s">
        <v>173</v>
      </c>
      <c r="S122" s="38" t="s">
        <v>173</v>
      </c>
      <c r="T122" s="45"/>
      <c r="U122" s="45"/>
      <c r="V122" s="45"/>
      <c r="W122" s="45"/>
      <c r="X122" s="45"/>
      <c r="Y122" s="45"/>
      <c r="Z122" s="45"/>
      <c r="AA122" s="45"/>
      <c r="AB122" s="69">
        <v>1.1896978000000001E-2</v>
      </c>
      <c r="AC122" s="69">
        <v>7.138187E-2</v>
      </c>
      <c r="AD122" s="69">
        <v>7.1381899999999998E-2</v>
      </c>
      <c r="AE122" s="69">
        <v>7.1381899999999998E-2</v>
      </c>
      <c r="AF122" s="69">
        <v>7.138187E-2</v>
      </c>
      <c r="AG122" s="69">
        <v>7.1381899999999998E-2</v>
      </c>
      <c r="AH122" s="69">
        <v>7.1381899999999998E-2</v>
      </c>
      <c r="AI122" s="69">
        <v>7.138187E-2</v>
      </c>
      <c r="AJ122" s="69">
        <v>7.138187E-2</v>
      </c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</row>
    <row r="123" spans="1:49" x14ac:dyDescent="0.25">
      <c r="A123" s="4">
        <v>2060</v>
      </c>
      <c r="B123" s="73">
        <v>1.8117900000000001E-5</v>
      </c>
      <c r="C123" s="74">
        <v>1.7504599999999998E-5</v>
      </c>
      <c r="D123" s="74">
        <v>2.31529E-5</v>
      </c>
      <c r="E123" s="74">
        <v>2.0860899999999999E-5</v>
      </c>
      <c r="F123" s="74">
        <v>9.2101800000000006E-6</v>
      </c>
      <c r="G123" s="75">
        <v>9.2101800000000006E-6</v>
      </c>
      <c r="H123" s="45"/>
      <c r="I123" s="45"/>
      <c r="J123" s="45"/>
      <c r="K123" s="45"/>
      <c r="L123" s="45"/>
      <c r="M123" s="4"/>
      <c r="N123" s="38" t="s">
        <v>173</v>
      </c>
      <c r="O123" s="38" t="s">
        <v>173</v>
      </c>
      <c r="P123" s="38" t="s">
        <v>173</v>
      </c>
      <c r="Q123" s="38" t="s">
        <v>173</v>
      </c>
      <c r="R123" s="38" t="s">
        <v>173</v>
      </c>
      <c r="S123" s="38" t="s">
        <v>173</v>
      </c>
      <c r="T123" s="45"/>
      <c r="U123" s="45"/>
      <c r="V123" s="45"/>
      <c r="W123" s="45"/>
      <c r="X123" s="45"/>
      <c r="Y123" s="45"/>
      <c r="Z123" s="45"/>
      <c r="AA123" s="45"/>
      <c r="AB123" s="69">
        <v>1.1896978000000001E-2</v>
      </c>
      <c r="AC123" s="69">
        <v>7.138187E-2</v>
      </c>
      <c r="AD123" s="69">
        <v>7.1381899999999998E-2</v>
      </c>
      <c r="AE123" s="69">
        <v>7.1381899999999998E-2</v>
      </c>
      <c r="AF123" s="69">
        <v>7.138187E-2</v>
      </c>
      <c r="AG123" s="69">
        <v>7.1381899999999998E-2</v>
      </c>
      <c r="AH123" s="69">
        <v>7.1381899999999998E-2</v>
      </c>
      <c r="AI123" s="69">
        <v>7.138187E-2</v>
      </c>
      <c r="AJ123" s="69">
        <v>7.138187E-2</v>
      </c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</row>
    <row r="124" spans="1:49" x14ac:dyDescent="0.25">
      <c r="A124" s="4">
        <v>2061</v>
      </c>
      <c r="B124" s="73">
        <v>1.8117900000000001E-5</v>
      </c>
      <c r="C124" s="74">
        <v>1.7504599999999998E-5</v>
      </c>
      <c r="D124" s="74">
        <v>2.31529E-5</v>
      </c>
      <c r="E124" s="74">
        <v>2.0860899999999999E-5</v>
      </c>
      <c r="F124" s="74">
        <v>9.2101800000000006E-6</v>
      </c>
      <c r="G124" s="75">
        <v>9.2101800000000006E-6</v>
      </c>
      <c r="H124" s="45"/>
      <c r="I124" s="45"/>
      <c r="J124" s="45"/>
      <c r="K124" s="45"/>
      <c r="L124" s="45"/>
      <c r="M124" s="4"/>
      <c r="N124" s="38" t="s">
        <v>173</v>
      </c>
      <c r="O124" s="38" t="s">
        <v>173</v>
      </c>
      <c r="P124" s="38" t="s">
        <v>173</v>
      </c>
      <c r="Q124" s="38" t="s">
        <v>173</v>
      </c>
      <c r="R124" s="38" t="s">
        <v>173</v>
      </c>
      <c r="S124" s="38" t="s">
        <v>173</v>
      </c>
      <c r="T124" s="45"/>
      <c r="U124" s="45"/>
      <c r="V124" s="45"/>
      <c r="W124" s="45"/>
      <c r="X124" s="45"/>
      <c r="Y124" s="45"/>
      <c r="Z124" s="45"/>
      <c r="AA124" s="45"/>
      <c r="AB124" s="69">
        <v>1.1896978000000001E-2</v>
      </c>
      <c r="AC124" s="69">
        <v>7.138187E-2</v>
      </c>
      <c r="AD124" s="69">
        <v>7.1381899999999998E-2</v>
      </c>
      <c r="AE124" s="69">
        <v>7.1381899999999998E-2</v>
      </c>
      <c r="AF124" s="69">
        <v>7.138187E-2</v>
      </c>
      <c r="AG124" s="69">
        <v>7.1381899999999998E-2</v>
      </c>
      <c r="AH124" s="69">
        <v>7.1381899999999998E-2</v>
      </c>
      <c r="AI124" s="69">
        <v>7.138187E-2</v>
      </c>
      <c r="AJ124" s="69">
        <v>7.138187E-2</v>
      </c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</row>
    <row r="125" spans="1:49" x14ac:dyDescent="0.25">
      <c r="A125" s="4">
        <v>2062</v>
      </c>
      <c r="B125" s="73">
        <v>1.8117900000000001E-5</v>
      </c>
      <c r="C125" s="74">
        <v>1.7504599999999998E-5</v>
      </c>
      <c r="D125" s="74">
        <v>2.31529E-5</v>
      </c>
      <c r="E125" s="74">
        <v>2.0860899999999999E-5</v>
      </c>
      <c r="F125" s="74">
        <v>9.2101800000000006E-6</v>
      </c>
      <c r="G125" s="75">
        <v>9.2101800000000006E-6</v>
      </c>
      <c r="H125" s="45"/>
      <c r="I125" s="45"/>
      <c r="J125" s="45"/>
      <c r="K125" s="45"/>
      <c r="L125" s="45"/>
      <c r="M125" s="4"/>
      <c r="N125" s="38" t="s">
        <v>173</v>
      </c>
      <c r="O125" s="38" t="s">
        <v>173</v>
      </c>
      <c r="P125" s="38" t="s">
        <v>173</v>
      </c>
      <c r="Q125" s="38" t="s">
        <v>173</v>
      </c>
      <c r="R125" s="38" t="s">
        <v>173</v>
      </c>
      <c r="S125" s="38" t="s">
        <v>173</v>
      </c>
      <c r="T125" s="45"/>
      <c r="U125" s="45"/>
      <c r="V125" s="45"/>
      <c r="W125" s="45"/>
      <c r="X125" s="45"/>
      <c r="Y125" s="45"/>
      <c r="Z125" s="45"/>
      <c r="AA125" s="45"/>
      <c r="AB125" s="69">
        <v>1.1896978000000001E-2</v>
      </c>
      <c r="AC125" s="69">
        <v>7.138187E-2</v>
      </c>
      <c r="AD125" s="69">
        <v>7.1381899999999998E-2</v>
      </c>
      <c r="AE125" s="69">
        <v>7.1381899999999998E-2</v>
      </c>
      <c r="AF125" s="69">
        <v>7.138187E-2</v>
      </c>
      <c r="AG125" s="69">
        <v>7.1381899999999998E-2</v>
      </c>
      <c r="AH125" s="69">
        <v>7.1381899999999998E-2</v>
      </c>
      <c r="AI125" s="69">
        <v>7.138187E-2</v>
      </c>
      <c r="AJ125" s="69">
        <v>7.138187E-2</v>
      </c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</row>
    <row r="126" spans="1:49" x14ac:dyDescent="0.25">
      <c r="A126" s="4">
        <v>2063</v>
      </c>
      <c r="B126" s="73">
        <v>1.8117900000000001E-5</v>
      </c>
      <c r="C126" s="74">
        <v>1.7504599999999998E-5</v>
      </c>
      <c r="D126" s="74">
        <v>2.31529E-5</v>
      </c>
      <c r="E126" s="74">
        <v>2.0860899999999999E-5</v>
      </c>
      <c r="F126" s="74">
        <v>9.2101800000000006E-6</v>
      </c>
      <c r="G126" s="75">
        <v>9.2101800000000006E-6</v>
      </c>
      <c r="H126" s="45"/>
      <c r="I126" s="45"/>
      <c r="J126" s="45"/>
      <c r="K126" s="45"/>
      <c r="L126" s="45"/>
      <c r="M126" s="4"/>
      <c r="N126" s="38" t="s">
        <v>173</v>
      </c>
      <c r="O126" s="38" t="s">
        <v>173</v>
      </c>
      <c r="P126" s="38" t="s">
        <v>173</v>
      </c>
      <c r="Q126" s="38" t="s">
        <v>173</v>
      </c>
      <c r="R126" s="38" t="s">
        <v>173</v>
      </c>
      <c r="S126" s="38" t="s">
        <v>173</v>
      </c>
      <c r="T126" s="45"/>
      <c r="U126" s="45"/>
      <c r="V126" s="45"/>
      <c r="W126" s="45"/>
      <c r="X126" s="45"/>
      <c r="Y126" s="45"/>
      <c r="Z126" s="45"/>
      <c r="AA126" s="45"/>
      <c r="AB126" s="69">
        <v>1.1896978000000001E-2</v>
      </c>
      <c r="AC126" s="69">
        <v>7.138187E-2</v>
      </c>
      <c r="AD126" s="69">
        <v>7.1381899999999998E-2</v>
      </c>
      <c r="AE126" s="69">
        <v>7.1381899999999998E-2</v>
      </c>
      <c r="AF126" s="69">
        <v>7.138187E-2</v>
      </c>
      <c r="AG126" s="69">
        <v>7.1381899999999998E-2</v>
      </c>
      <c r="AH126" s="69">
        <v>7.1381899999999998E-2</v>
      </c>
      <c r="AI126" s="69">
        <v>7.138187E-2</v>
      </c>
      <c r="AJ126" s="69">
        <v>7.138187E-2</v>
      </c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</row>
    <row r="127" spans="1:49" x14ac:dyDescent="0.25">
      <c r="A127" s="4">
        <v>2064</v>
      </c>
      <c r="B127" s="73">
        <v>1.8117900000000001E-5</v>
      </c>
      <c r="C127" s="74">
        <v>1.7504599999999998E-5</v>
      </c>
      <c r="D127" s="74">
        <v>2.31529E-5</v>
      </c>
      <c r="E127" s="74">
        <v>2.0860899999999999E-5</v>
      </c>
      <c r="F127" s="74">
        <v>9.2101800000000006E-6</v>
      </c>
      <c r="G127" s="75">
        <v>9.2101800000000006E-6</v>
      </c>
      <c r="H127" s="45"/>
      <c r="I127" s="45"/>
      <c r="J127" s="45"/>
      <c r="K127" s="45"/>
      <c r="L127" s="45"/>
      <c r="M127" s="4"/>
      <c r="N127" s="38" t="s">
        <v>173</v>
      </c>
      <c r="O127" s="38" t="s">
        <v>173</v>
      </c>
      <c r="P127" s="38" t="s">
        <v>173</v>
      </c>
      <c r="Q127" s="38" t="s">
        <v>173</v>
      </c>
      <c r="R127" s="38" t="s">
        <v>173</v>
      </c>
      <c r="S127" s="38" t="s">
        <v>173</v>
      </c>
      <c r="T127" s="45"/>
      <c r="U127" s="45"/>
      <c r="V127" s="45"/>
      <c r="W127" s="45"/>
      <c r="X127" s="45"/>
      <c r="Y127" s="45"/>
      <c r="Z127" s="45"/>
      <c r="AA127" s="45"/>
      <c r="AB127" s="69">
        <v>1.1896978000000001E-2</v>
      </c>
      <c r="AC127" s="69">
        <v>7.138187E-2</v>
      </c>
      <c r="AD127" s="69">
        <v>7.1381899999999998E-2</v>
      </c>
      <c r="AE127" s="69">
        <v>7.1381899999999998E-2</v>
      </c>
      <c r="AF127" s="69">
        <v>7.138187E-2</v>
      </c>
      <c r="AG127" s="69">
        <v>7.1381899999999998E-2</v>
      </c>
      <c r="AH127" s="69">
        <v>7.1381899999999998E-2</v>
      </c>
      <c r="AI127" s="69">
        <v>7.138187E-2</v>
      </c>
      <c r="AJ127" s="69">
        <v>7.138187E-2</v>
      </c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</row>
    <row r="128" spans="1:49" x14ac:dyDescent="0.25">
      <c r="A128" s="4">
        <v>2065</v>
      </c>
      <c r="B128" s="73">
        <v>1.8117900000000001E-5</v>
      </c>
      <c r="C128" s="74">
        <v>1.7504599999999998E-5</v>
      </c>
      <c r="D128" s="74">
        <v>2.31529E-5</v>
      </c>
      <c r="E128" s="74">
        <v>2.0860899999999999E-5</v>
      </c>
      <c r="F128" s="74">
        <v>9.2101800000000006E-6</v>
      </c>
      <c r="G128" s="75">
        <v>9.2101800000000006E-6</v>
      </c>
      <c r="H128" s="45"/>
      <c r="I128" s="45"/>
      <c r="J128" s="45"/>
      <c r="K128" s="45"/>
      <c r="L128" s="45"/>
      <c r="M128" s="4"/>
      <c r="N128" s="38" t="s">
        <v>173</v>
      </c>
      <c r="O128" s="38" t="s">
        <v>173</v>
      </c>
      <c r="P128" s="38" t="s">
        <v>173</v>
      </c>
      <c r="Q128" s="38" t="s">
        <v>173</v>
      </c>
      <c r="R128" s="38" t="s">
        <v>173</v>
      </c>
      <c r="S128" s="38" t="s">
        <v>173</v>
      </c>
      <c r="T128" s="45"/>
      <c r="U128" s="45"/>
      <c r="V128" s="45"/>
      <c r="W128" s="45"/>
      <c r="X128" s="45"/>
      <c r="Y128" s="45"/>
      <c r="Z128" s="45"/>
      <c r="AA128" s="45"/>
      <c r="AB128" s="69">
        <v>1.1896978000000001E-2</v>
      </c>
      <c r="AC128" s="69">
        <v>7.138187E-2</v>
      </c>
      <c r="AD128" s="69">
        <v>7.1381899999999998E-2</v>
      </c>
      <c r="AE128" s="69">
        <v>7.1381899999999998E-2</v>
      </c>
      <c r="AF128" s="69">
        <v>7.138187E-2</v>
      </c>
      <c r="AG128" s="69">
        <v>7.1381899999999998E-2</v>
      </c>
      <c r="AH128" s="69">
        <v>7.1381899999999998E-2</v>
      </c>
      <c r="AI128" s="69">
        <v>7.138187E-2</v>
      </c>
      <c r="AJ128" s="69">
        <v>7.138187E-2</v>
      </c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</row>
    <row r="129" spans="1:49" x14ac:dyDescent="0.25">
      <c r="A129" s="4">
        <v>2066</v>
      </c>
      <c r="B129" s="73">
        <v>1.8117900000000001E-5</v>
      </c>
      <c r="C129" s="74">
        <v>1.7504599999999998E-5</v>
      </c>
      <c r="D129" s="74">
        <v>2.31529E-5</v>
      </c>
      <c r="E129" s="74">
        <v>2.0860899999999999E-5</v>
      </c>
      <c r="F129" s="74">
        <v>9.2101800000000006E-6</v>
      </c>
      <c r="G129" s="75">
        <v>9.2101800000000006E-6</v>
      </c>
      <c r="H129" s="45"/>
      <c r="I129" s="45"/>
      <c r="J129" s="45"/>
      <c r="K129" s="45"/>
      <c r="L129" s="45"/>
      <c r="M129" s="4"/>
      <c r="N129" s="38" t="s">
        <v>173</v>
      </c>
      <c r="O129" s="38" t="s">
        <v>173</v>
      </c>
      <c r="P129" s="38" t="s">
        <v>173</v>
      </c>
      <c r="Q129" s="38" t="s">
        <v>173</v>
      </c>
      <c r="R129" s="38" t="s">
        <v>173</v>
      </c>
      <c r="S129" s="38" t="s">
        <v>173</v>
      </c>
      <c r="T129" s="45"/>
      <c r="U129" s="45"/>
      <c r="V129" s="45"/>
      <c r="W129" s="45"/>
      <c r="X129" s="45"/>
      <c r="Y129" s="45"/>
      <c r="Z129" s="45"/>
      <c r="AA129" s="45"/>
      <c r="AB129" s="69">
        <v>1.1896978000000001E-2</v>
      </c>
      <c r="AC129" s="69">
        <v>7.138187E-2</v>
      </c>
      <c r="AD129" s="69">
        <v>7.1381899999999998E-2</v>
      </c>
      <c r="AE129" s="69">
        <v>7.1381899999999998E-2</v>
      </c>
      <c r="AF129" s="69">
        <v>7.138187E-2</v>
      </c>
      <c r="AG129" s="69">
        <v>7.1381899999999998E-2</v>
      </c>
      <c r="AH129" s="69">
        <v>7.1381899999999998E-2</v>
      </c>
      <c r="AI129" s="69">
        <v>7.138187E-2</v>
      </c>
      <c r="AJ129" s="69">
        <v>7.138187E-2</v>
      </c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</row>
    <row r="130" spans="1:49" x14ac:dyDescent="0.25">
      <c r="A130" s="4">
        <v>2067</v>
      </c>
      <c r="B130" s="73">
        <v>1.8117900000000001E-5</v>
      </c>
      <c r="C130" s="74">
        <v>1.7504599999999998E-5</v>
      </c>
      <c r="D130" s="74">
        <v>2.31529E-5</v>
      </c>
      <c r="E130" s="74">
        <v>2.0860899999999999E-5</v>
      </c>
      <c r="F130" s="74">
        <v>9.2101800000000006E-6</v>
      </c>
      <c r="G130" s="75">
        <v>9.2101800000000006E-6</v>
      </c>
      <c r="H130" s="45"/>
      <c r="I130" s="45"/>
      <c r="J130" s="45"/>
      <c r="K130" s="45"/>
      <c r="L130" s="45"/>
      <c r="M130" s="4"/>
      <c r="N130" s="38" t="s">
        <v>173</v>
      </c>
      <c r="O130" s="38" t="s">
        <v>173</v>
      </c>
      <c r="P130" s="38" t="s">
        <v>173</v>
      </c>
      <c r="Q130" s="38" t="s">
        <v>173</v>
      </c>
      <c r="R130" s="38" t="s">
        <v>173</v>
      </c>
      <c r="S130" s="38" t="s">
        <v>173</v>
      </c>
      <c r="T130" s="45"/>
      <c r="U130" s="45"/>
      <c r="V130" s="45"/>
      <c r="W130" s="45"/>
      <c r="X130" s="45"/>
      <c r="Y130" s="45"/>
      <c r="Z130" s="45"/>
      <c r="AA130" s="45"/>
      <c r="AB130" s="69">
        <v>1.1896978000000001E-2</v>
      </c>
      <c r="AC130" s="69">
        <v>7.138187E-2</v>
      </c>
      <c r="AD130" s="69">
        <v>7.1381899999999998E-2</v>
      </c>
      <c r="AE130" s="69">
        <v>7.1381899999999998E-2</v>
      </c>
      <c r="AF130" s="69">
        <v>7.138187E-2</v>
      </c>
      <c r="AG130" s="69">
        <v>7.1381899999999998E-2</v>
      </c>
      <c r="AH130" s="69">
        <v>7.1381899999999998E-2</v>
      </c>
      <c r="AI130" s="69">
        <v>7.138187E-2</v>
      </c>
      <c r="AJ130" s="69">
        <v>7.138187E-2</v>
      </c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</row>
    <row r="131" spans="1:49" x14ac:dyDescent="0.25">
      <c r="A131" s="4">
        <v>2068</v>
      </c>
      <c r="B131" s="73">
        <v>1.8117900000000001E-5</v>
      </c>
      <c r="C131" s="74">
        <v>1.7504599999999998E-5</v>
      </c>
      <c r="D131" s="74">
        <v>2.31529E-5</v>
      </c>
      <c r="E131" s="74">
        <v>2.0860899999999999E-5</v>
      </c>
      <c r="F131" s="74">
        <v>9.2101800000000006E-6</v>
      </c>
      <c r="G131" s="75">
        <v>9.2101800000000006E-6</v>
      </c>
      <c r="H131" s="45"/>
      <c r="I131" s="45"/>
      <c r="J131" s="45"/>
      <c r="K131" s="45"/>
      <c r="L131" s="45"/>
      <c r="M131" s="4"/>
      <c r="N131" s="38" t="s">
        <v>173</v>
      </c>
      <c r="O131" s="38" t="s">
        <v>173</v>
      </c>
      <c r="P131" s="38" t="s">
        <v>173</v>
      </c>
      <c r="Q131" s="38" t="s">
        <v>173</v>
      </c>
      <c r="R131" s="38" t="s">
        <v>173</v>
      </c>
      <c r="S131" s="38" t="s">
        <v>173</v>
      </c>
      <c r="T131" s="45"/>
      <c r="U131" s="45"/>
      <c r="V131" s="45"/>
      <c r="W131" s="45"/>
      <c r="X131" s="45"/>
      <c r="Y131" s="45"/>
      <c r="Z131" s="45"/>
      <c r="AA131" s="45"/>
      <c r="AB131" s="69">
        <v>1.1896978000000001E-2</v>
      </c>
      <c r="AC131" s="69">
        <v>7.138187E-2</v>
      </c>
      <c r="AD131" s="69">
        <v>7.1381899999999998E-2</v>
      </c>
      <c r="AE131" s="69">
        <v>7.1381899999999998E-2</v>
      </c>
      <c r="AF131" s="69">
        <v>7.138187E-2</v>
      </c>
      <c r="AG131" s="69">
        <v>7.1381899999999998E-2</v>
      </c>
      <c r="AH131" s="69">
        <v>7.1381899999999998E-2</v>
      </c>
      <c r="AI131" s="69">
        <v>7.138187E-2</v>
      </c>
      <c r="AJ131" s="69">
        <v>7.138187E-2</v>
      </c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</row>
    <row r="132" spans="1:49" x14ac:dyDescent="0.25">
      <c r="A132" s="4">
        <v>2069</v>
      </c>
      <c r="B132" s="73">
        <v>1.8117900000000001E-5</v>
      </c>
      <c r="C132" s="74">
        <v>1.7504599999999998E-5</v>
      </c>
      <c r="D132" s="74">
        <v>2.31529E-5</v>
      </c>
      <c r="E132" s="74">
        <v>2.0860899999999999E-5</v>
      </c>
      <c r="F132" s="74">
        <v>9.2101800000000006E-6</v>
      </c>
      <c r="G132" s="75">
        <v>9.2101800000000006E-6</v>
      </c>
      <c r="H132" s="45"/>
      <c r="I132" s="45"/>
      <c r="J132" s="45"/>
      <c r="K132" s="45"/>
      <c r="L132" s="45"/>
      <c r="M132" s="4"/>
      <c r="N132" s="38" t="s">
        <v>173</v>
      </c>
      <c r="O132" s="38" t="s">
        <v>173</v>
      </c>
      <c r="P132" s="38" t="s">
        <v>173</v>
      </c>
      <c r="Q132" s="38" t="s">
        <v>173</v>
      </c>
      <c r="R132" s="38" t="s">
        <v>173</v>
      </c>
      <c r="S132" s="38" t="s">
        <v>173</v>
      </c>
      <c r="T132" s="45"/>
      <c r="U132" s="45"/>
      <c r="V132" s="45"/>
      <c r="W132" s="45"/>
      <c r="X132" s="45"/>
      <c r="Y132" s="45"/>
      <c r="Z132" s="45"/>
      <c r="AA132" s="45"/>
      <c r="AB132" s="69">
        <v>1.1896978000000001E-2</v>
      </c>
      <c r="AC132" s="69">
        <v>7.138187E-2</v>
      </c>
      <c r="AD132" s="69">
        <v>7.1381899999999998E-2</v>
      </c>
      <c r="AE132" s="69">
        <v>7.1381899999999998E-2</v>
      </c>
      <c r="AF132" s="69">
        <v>7.138187E-2</v>
      </c>
      <c r="AG132" s="69">
        <v>7.1381899999999998E-2</v>
      </c>
      <c r="AH132" s="69">
        <v>7.1381899999999998E-2</v>
      </c>
      <c r="AI132" s="69">
        <v>7.138187E-2</v>
      </c>
      <c r="AJ132" s="69">
        <v>7.138187E-2</v>
      </c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</row>
    <row r="133" spans="1:49" x14ac:dyDescent="0.25">
      <c r="A133" s="4">
        <v>2070</v>
      </c>
      <c r="B133" s="73">
        <v>1.8117900000000001E-5</v>
      </c>
      <c r="C133" s="74">
        <v>1.7504599999999998E-5</v>
      </c>
      <c r="D133" s="74">
        <v>2.31529E-5</v>
      </c>
      <c r="E133" s="74">
        <v>2.0860899999999999E-5</v>
      </c>
      <c r="F133" s="74">
        <v>9.2101800000000006E-6</v>
      </c>
      <c r="G133" s="75">
        <v>9.2101800000000006E-6</v>
      </c>
      <c r="H133" s="45"/>
      <c r="I133" s="45"/>
      <c r="J133" s="45"/>
      <c r="K133" s="45"/>
      <c r="L133" s="45"/>
      <c r="M133" s="4"/>
      <c r="N133" s="38" t="s">
        <v>173</v>
      </c>
      <c r="O133" s="38" t="s">
        <v>173</v>
      </c>
      <c r="P133" s="38" t="s">
        <v>173</v>
      </c>
      <c r="Q133" s="38" t="s">
        <v>173</v>
      </c>
      <c r="R133" s="38" t="s">
        <v>173</v>
      </c>
      <c r="S133" s="38" t="s">
        <v>173</v>
      </c>
      <c r="T133" s="45"/>
      <c r="U133" s="45"/>
      <c r="V133" s="45"/>
      <c r="W133" s="45"/>
      <c r="X133" s="45"/>
      <c r="Y133" s="45"/>
      <c r="Z133" s="45"/>
      <c r="AA133" s="45"/>
      <c r="AB133" s="69">
        <v>1.1896978000000001E-2</v>
      </c>
      <c r="AC133" s="69">
        <v>7.138187E-2</v>
      </c>
      <c r="AD133" s="69">
        <v>7.1381899999999998E-2</v>
      </c>
      <c r="AE133" s="69">
        <v>7.1381899999999998E-2</v>
      </c>
      <c r="AF133" s="69">
        <v>7.138187E-2</v>
      </c>
      <c r="AG133" s="69">
        <v>7.1381899999999998E-2</v>
      </c>
      <c r="AH133" s="69">
        <v>7.1381899999999998E-2</v>
      </c>
      <c r="AI133" s="69">
        <v>7.138187E-2</v>
      </c>
      <c r="AJ133" s="69">
        <v>7.138187E-2</v>
      </c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</row>
    <row r="134" spans="1:49" x14ac:dyDescent="0.25">
      <c r="A134" s="4">
        <v>2071</v>
      </c>
      <c r="B134" s="73">
        <v>1.8117900000000001E-5</v>
      </c>
      <c r="C134" s="74">
        <v>1.7504599999999998E-5</v>
      </c>
      <c r="D134" s="74">
        <v>2.31529E-5</v>
      </c>
      <c r="E134" s="74">
        <v>2.0860899999999999E-5</v>
      </c>
      <c r="F134" s="74">
        <v>9.2101800000000006E-6</v>
      </c>
      <c r="G134" s="75">
        <v>9.2101800000000006E-6</v>
      </c>
      <c r="H134" s="45"/>
      <c r="I134" s="45"/>
      <c r="J134" s="45"/>
      <c r="K134" s="45"/>
      <c r="L134" s="45"/>
      <c r="M134" s="4"/>
      <c r="N134" s="38" t="s">
        <v>173</v>
      </c>
      <c r="O134" s="38" t="s">
        <v>173</v>
      </c>
      <c r="P134" s="38" t="s">
        <v>173</v>
      </c>
      <c r="Q134" s="38" t="s">
        <v>173</v>
      </c>
      <c r="R134" s="38" t="s">
        <v>173</v>
      </c>
      <c r="S134" s="38" t="s">
        <v>173</v>
      </c>
      <c r="T134" s="45"/>
      <c r="U134" s="45"/>
      <c r="V134" s="45"/>
      <c r="W134" s="45"/>
      <c r="X134" s="45"/>
      <c r="Y134" s="45"/>
      <c r="Z134" s="45"/>
      <c r="AA134" s="45"/>
      <c r="AB134" s="69">
        <v>1.1896978000000001E-2</v>
      </c>
      <c r="AC134" s="69">
        <v>7.138187E-2</v>
      </c>
      <c r="AD134" s="69">
        <v>7.1381899999999998E-2</v>
      </c>
      <c r="AE134" s="69">
        <v>7.1381899999999998E-2</v>
      </c>
      <c r="AF134" s="69">
        <v>7.138187E-2</v>
      </c>
      <c r="AG134" s="69">
        <v>7.1381899999999998E-2</v>
      </c>
      <c r="AH134" s="69">
        <v>7.1381899999999998E-2</v>
      </c>
      <c r="AI134" s="69">
        <v>7.138187E-2</v>
      </c>
      <c r="AJ134" s="69">
        <v>7.138187E-2</v>
      </c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</row>
    <row r="135" spans="1:49" x14ac:dyDescent="0.25">
      <c r="A135" s="4">
        <v>2072</v>
      </c>
      <c r="B135" s="73">
        <v>1.8117900000000001E-5</v>
      </c>
      <c r="C135" s="74">
        <v>1.7504599999999998E-5</v>
      </c>
      <c r="D135" s="74">
        <v>2.31529E-5</v>
      </c>
      <c r="E135" s="74">
        <v>2.0860899999999999E-5</v>
      </c>
      <c r="F135" s="74">
        <v>9.2101800000000006E-6</v>
      </c>
      <c r="G135" s="75">
        <v>9.2101800000000006E-6</v>
      </c>
      <c r="H135" s="45"/>
      <c r="I135" s="45"/>
      <c r="J135" s="45"/>
      <c r="K135" s="45"/>
      <c r="L135" s="45"/>
      <c r="M135" s="4"/>
      <c r="N135" s="38" t="s">
        <v>173</v>
      </c>
      <c r="O135" s="38" t="s">
        <v>173</v>
      </c>
      <c r="P135" s="38" t="s">
        <v>173</v>
      </c>
      <c r="Q135" s="38" t="s">
        <v>173</v>
      </c>
      <c r="R135" s="38" t="s">
        <v>173</v>
      </c>
      <c r="S135" s="38" t="s">
        <v>173</v>
      </c>
      <c r="T135" s="45"/>
      <c r="U135" s="45"/>
      <c r="V135" s="45"/>
      <c r="W135" s="45"/>
      <c r="X135" s="45"/>
      <c r="Y135" s="45"/>
      <c r="Z135" s="45"/>
      <c r="AA135" s="45"/>
      <c r="AB135" s="69">
        <v>1.1896978000000001E-2</v>
      </c>
      <c r="AC135" s="69">
        <v>7.138187E-2</v>
      </c>
      <c r="AD135" s="69">
        <v>7.1381899999999998E-2</v>
      </c>
      <c r="AE135" s="69">
        <v>7.1381899999999998E-2</v>
      </c>
      <c r="AF135" s="69">
        <v>7.138187E-2</v>
      </c>
      <c r="AG135" s="69">
        <v>7.1381899999999998E-2</v>
      </c>
      <c r="AH135" s="69">
        <v>7.1381899999999998E-2</v>
      </c>
      <c r="AI135" s="69">
        <v>7.138187E-2</v>
      </c>
      <c r="AJ135" s="69">
        <v>7.138187E-2</v>
      </c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</row>
    <row r="136" spans="1:49" x14ac:dyDescent="0.25">
      <c r="A136" s="4">
        <v>2073</v>
      </c>
      <c r="B136" s="73">
        <v>1.8117900000000001E-5</v>
      </c>
      <c r="C136" s="74">
        <v>1.7504599999999998E-5</v>
      </c>
      <c r="D136" s="74">
        <v>2.31529E-5</v>
      </c>
      <c r="E136" s="74">
        <v>2.0860899999999999E-5</v>
      </c>
      <c r="F136" s="74">
        <v>9.2101800000000006E-6</v>
      </c>
      <c r="G136" s="75">
        <v>9.2101800000000006E-6</v>
      </c>
      <c r="H136" s="45"/>
      <c r="I136" s="45"/>
      <c r="J136" s="45"/>
      <c r="K136" s="45"/>
      <c r="L136" s="45"/>
      <c r="M136" s="4"/>
      <c r="N136" s="38" t="s">
        <v>173</v>
      </c>
      <c r="O136" s="38" t="s">
        <v>173</v>
      </c>
      <c r="P136" s="38" t="s">
        <v>173</v>
      </c>
      <c r="Q136" s="38" t="s">
        <v>173</v>
      </c>
      <c r="R136" s="38" t="s">
        <v>173</v>
      </c>
      <c r="S136" s="38" t="s">
        <v>173</v>
      </c>
      <c r="T136" s="45"/>
      <c r="U136" s="45"/>
      <c r="V136" s="45"/>
      <c r="W136" s="45"/>
      <c r="X136" s="45"/>
      <c r="Y136" s="45"/>
      <c r="Z136" s="45"/>
      <c r="AA136" s="45"/>
      <c r="AB136" s="69">
        <v>1.1896978000000001E-2</v>
      </c>
      <c r="AC136" s="69">
        <v>7.138187E-2</v>
      </c>
      <c r="AD136" s="69">
        <v>7.1381899999999998E-2</v>
      </c>
      <c r="AE136" s="69">
        <v>7.1381899999999998E-2</v>
      </c>
      <c r="AF136" s="69">
        <v>7.138187E-2</v>
      </c>
      <c r="AG136" s="69">
        <v>7.1381899999999998E-2</v>
      </c>
      <c r="AH136" s="69">
        <v>7.1381899999999998E-2</v>
      </c>
      <c r="AI136" s="69">
        <v>7.138187E-2</v>
      </c>
      <c r="AJ136" s="69">
        <v>7.138187E-2</v>
      </c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</row>
    <row r="137" spans="1:49" x14ac:dyDescent="0.25">
      <c r="A137" s="4">
        <v>2074</v>
      </c>
      <c r="B137" s="73">
        <v>1.8117900000000001E-5</v>
      </c>
      <c r="C137" s="74">
        <v>1.7504599999999998E-5</v>
      </c>
      <c r="D137" s="74">
        <v>2.31529E-5</v>
      </c>
      <c r="E137" s="74">
        <v>2.0860899999999999E-5</v>
      </c>
      <c r="F137" s="74">
        <v>9.2101800000000006E-6</v>
      </c>
      <c r="G137" s="75">
        <v>9.2101800000000006E-6</v>
      </c>
      <c r="H137" s="45"/>
      <c r="I137" s="45"/>
      <c r="J137" s="45"/>
      <c r="K137" s="45"/>
      <c r="L137" s="45"/>
      <c r="M137" s="4"/>
      <c r="N137" s="38" t="s">
        <v>173</v>
      </c>
      <c r="O137" s="38" t="s">
        <v>173</v>
      </c>
      <c r="P137" s="38" t="s">
        <v>173</v>
      </c>
      <c r="Q137" s="38" t="s">
        <v>173</v>
      </c>
      <c r="R137" s="38" t="s">
        <v>173</v>
      </c>
      <c r="S137" s="38" t="s">
        <v>173</v>
      </c>
      <c r="T137" s="45"/>
      <c r="U137" s="45"/>
      <c r="V137" s="45"/>
      <c r="W137" s="45"/>
      <c r="X137" s="45"/>
      <c r="Y137" s="45"/>
      <c r="Z137" s="45"/>
      <c r="AA137" s="45"/>
      <c r="AB137" s="69">
        <v>1.1896978000000001E-2</v>
      </c>
      <c r="AC137" s="69">
        <v>7.138187E-2</v>
      </c>
      <c r="AD137" s="69">
        <v>7.1381899999999998E-2</v>
      </c>
      <c r="AE137" s="69">
        <v>7.1381899999999998E-2</v>
      </c>
      <c r="AF137" s="69">
        <v>7.138187E-2</v>
      </c>
      <c r="AG137" s="69">
        <v>7.1381899999999998E-2</v>
      </c>
      <c r="AH137" s="69">
        <v>7.1381899999999998E-2</v>
      </c>
      <c r="AI137" s="69">
        <v>7.138187E-2</v>
      </c>
      <c r="AJ137" s="69">
        <v>7.138187E-2</v>
      </c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</row>
    <row r="138" spans="1:49" x14ac:dyDescent="0.25">
      <c r="A138" s="4">
        <v>2075</v>
      </c>
      <c r="B138" s="73">
        <v>1.8117900000000001E-5</v>
      </c>
      <c r="C138" s="74">
        <v>1.7504599999999998E-5</v>
      </c>
      <c r="D138" s="74">
        <v>2.31529E-5</v>
      </c>
      <c r="E138" s="74">
        <v>2.0860899999999999E-5</v>
      </c>
      <c r="F138" s="74">
        <v>9.2101800000000006E-6</v>
      </c>
      <c r="G138" s="75">
        <v>9.2101800000000006E-6</v>
      </c>
      <c r="H138" s="45"/>
      <c r="I138" s="45"/>
      <c r="J138" s="45"/>
      <c r="K138" s="45"/>
      <c r="L138" s="45"/>
      <c r="M138" s="4"/>
      <c r="N138" s="38" t="s">
        <v>173</v>
      </c>
      <c r="O138" s="38" t="s">
        <v>173</v>
      </c>
      <c r="P138" s="38" t="s">
        <v>173</v>
      </c>
      <c r="Q138" s="38" t="s">
        <v>173</v>
      </c>
      <c r="R138" s="38" t="s">
        <v>173</v>
      </c>
      <c r="S138" s="38" t="s">
        <v>173</v>
      </c>
      <c r="T138" s="45"/>
      <c r="U138" s="45"/>
      <c r="V138" s="45"/>
      <c r="W138" s="45"/>
      <c r="X138" s="45"/>
      <c r="Y138" s="45"/>
      <c r="Z138" s="45"/>
      <c r="AA138" s="45"/>
      <c r="AB138" s="69">
        <v>1.1896978000000001E-2</v>
      </c>
      <c r="AC138" s="69">
        <v>7.138187E-2</v>
      </c>
      <c r="AD138" s="69">
        <v>7.1381899999999998E-2</v>
      </c>
      <c r="AE138" s="69">
        <v>7.1381899999999998E-2</v>
      </c>
      <c r="AF138" s="69">
        <v>7.138187E-2</v>
      </c>
      <c r="AG138" s="69">
        <v>7.1381899999999998E-2</v>
      </c>
      <c r="AH138" s="69">
        <v>7.1381899999999998E-2</v>
      </c>
      <c r="AI138" s="69">
        <v>7.138187E-2</v>
      </c>
      <c r="AJ138" s="69">
        <v>7.138187E-2</v>
      </c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</row>
    <row r="139" spans="1:49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</row>
    <row r="140" spans="1:49" x14ac:dyDescent="0.25">
      <c r="A140" s="45"/>
      <c r="B140" s="49" t="s">
        <v>96</v>
      </c>
      <c r="C140" s="49" t="s">
        <v>173</v>
      </c>
      <c r="D140" s="49" t="s">
        <v>173</v>
      </c>
      <c r="E140" s="49" t="s">
        <v>173</v>
      </c>
      <c r="F140" s="49" t="s">
        <v>173</v>
      </c>
      <c r="G140" s="50" t="s">
        <v>261</v>
      </c>
      <c r="H140" s="51"/>
      <c r="I140" s="51"/>
      <c r="J140" s="51"/>
      <c r="K140" s="51"/>
      <c r="L140" s="49" t="s">
        <v>173</v>
      </c>
      <c r="M140" s="49" t="s">
        <v>173</v>
      </c>
      <c r="N140" s="49" t="s">
        <v>173</v>
      </c>
      <c r="O140" s="49" t="s">
        <v>173</v>
      </c>
      <c r="P140" s="49" t="s">
        <v>173</v>
      </c>
      <c r="Q140" s="49" t="s">
        <v>173</v>
      </c>
      <c r="R140" s="49" t="s">
        <v>173</v>
      </c>
      <c r="S140" s="49" t="s">
        <v>173</v>
      </c>
      <c r="T140" s="49" t="s">
        <v>173</v>
      </c>
      <c r="U140" s="49" t="s">
        <v>173</v>
      </c>
      <c r="V140" s="49" t="s">
        <v>173</v>
      </c>
      <c r="W140" s="49" t="s">
        <v>173</v>
      </c>
      <c r="X140" s="49" t="s">
        <v>173</v>
      </c>
      <c r="Y140" s="49" t="s">
        <v>173</v>
      </c>
      <c r="Z140" s="49" t="s">
        <v>173</v>
      </c>
      <c r="AA140" s="49" t="s">
        <v>173</v>
      </c>
      <c r="AB140" s="49" t="s">
        <v>173</v>
      </c>
      <c r="AC140" s="49" t="s">
        <v>173</v>
      </c>
      <c r="AD140" s="49" t="s">
        <v>173</v>
      </c>
      <c r="AE140" s="49" t="s">
        <v>173</v>
      </c>
      <c r="AF140" s="49" t="s">
        <v>173</v>
      </c>
      <c r="AG140" s="49" t="s">
        <v>173</v>
      </c>
      <c r="AH140" s="49" t="s">
        <v>173</v>
      </c>
      <c r="AI140" s="49" t="s">
        <v>173</v>
      </c>
      <c r="AJ140" s="49" t="s">
        <v>173</v>
      </c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</row>
    <row r="141" spans="1:49" x14ac:dyDescent="0.25">
      <c r="A141" s="45"/>
      <c r="B141" s="3" t="s">
        <v>209</v>
      </c>
      <c r="C141" s="3"/>
      <c r="D141" s="3"/>
      <c r="E141" s="3"/>
      <c r="F141" s="3"/>
      <c r="G141" s="3"/>
      <c r="H141" s="45"/>
      <c r="I141" s="45"/>
      <c r="J141" s="45"/>
      <c r="K141" s="45"/>
      <c r="L141" s="45"/>
      <c r="M141" s="45"/>
      <c r="N141" s="3" t="s">
        <v>209</v>
      </c>
      <c r="O141" s="3"/>
      <c r="P141" s="3"/>
      <c r="Q141" s="3"/>
      <c r="R141" s="3"/>
      <c r="S141" s="3"/>
      <c r="T141" s="45"/>
      <c r="U141" s="45"/>
      <c r="V141" s="45"/>
      <c r="W141" s="45"/>
      <c r="X141" s="45"/>
      <c r="Y141" s="45"/>
      <c r="Z141" s="45"/>
      <c r="AA141" s="45" t="s">
        <v>262</v>
      </c>
      <c r="AB141" s="45">
        <v>9.9999999999999995E-7</v>
      </c>
      <c r="AC141" s="45">
        <v>3.0000000000000001E-6</v>
      </c>
      <c r="AD141" s="45">
        <v>3.0000000000000001E-6</v>
      </c>
      <c r="AE141" s="45">
        <v>3.0000000000000001E-6</v>
      </c>
      <c r="AF141" s="45">
        <v>3.0000000000000001E-6</v>
      </c>
      <c r="AG141" s="45">
        <v>3.0000000000000001E-6</v>
      </c>
      <c r="AH141" s="45">
        <v>3.0000000000000001E-6</v>
      </c>
      <c r="AI141" s="70">
        <v>3.0000000000000001E-6</v>
      </c>
      <c r="AJ141" s="70">
        <v>3.0000000000000001E-6</v>
      </c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</row>
    <row r="142" spans="1:49" x14ac:dyDescent="0.25">
      <c r="A142" s="45"/>
      <c r="B142" s="6" t="s">
        <v>223</v>
      </c>
      <c r="C142" s="3"/>
      <c r="D142" s="3"/>
      <c r="E142" s="6" t="s">
        <v>173</v>
      </c>
      <c r="F142" s="6" t="s">
        <v>173</v>
      </c>
      <c r="G142" s="6" t="s">
        <v>173</v>
      </c>
      <c r="H142" s="45"/>
      <c r="I142" s="45"/>
      <c r="J142" s="45"/>
      <c r="K142" s="45"/>
      <c r="L142" s="45"/>
      <c r="M142" s="45"/>
      <c r="N142" s="6" t="s">
        <v>223</v>
      </c>
      <c r="O142" s="3"/>
      <c r="P142" s="3"/>
      <c r="Q142" s="3"/>
      <c r="R142" s="6" t="s">
        <v>173</v>
      </c>
      <c r="S142" s="6" t="s">
        <v>173</v>
      </c>
      <c r="T142" s="45"/>
      <c r="U142" s="45"/>
      <c r="V142" s="45"/>
      <c r="W142" s="45"/>
      <c r="X142" s="45"/>
      <c r="Y142" s="45"/>
      <c r="Z142" s="45"/>
      <c r="AA142" s="45"/>
      <c r="AB142" s="45">
        <v>1</v>
      </c>
      <c r="AC142" s="45">
        <v>2</v>
      </c>
      <c r="AD142" s="45">
        <v>3</v>
      </c>
      <c r="AE142" s="45">
        <v>4</v>
      </c>
      <c r="AF142" s="45">
        <v>5</v>
      </c>
      <c r="AG142" s="45">
        <v>6</v>
      </c>
      <c r="AH142" s="45">
        <v>7</v>
      </c>
      <c r="AI142" s="45">
        <v>8</v>
      </c>
      <c r="AJ142" s="45">
        <v>9</v>
      </c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</row>
    <row r="143" spans="1:49" x14ac:dyDescent="0.25">
      <c r="A143" s="45"/>
      <c r="B143" s="97" t="s">
        <v>178</v>
      </c>
      <c r="C143" s="101" t="s">
        <v>179</v>
      </c>
      <c r="D143" s="101" t="s">
        <v>180</v>
      </c>
      <c r="E143" s="101" t="s">
        <v>181</v>
      </c>
      <c r="F143" s="101" t="s">
        <v>238</v>
      </c>
      <c r="G143" s="99" t="s">
        <v>239</v>
      </c>
      <c r="H143" s="45"/>
      <c r="I143" s="45"/>
      <c r="J143" s="45"/>
      <c r="K143" s="45"/>
      <c r="L143" s="45"/>
      <c r="M143" s="45"/>
      <c r="N143" s="97" t="s">
        <v>178</v>
      </c>
      <c r="O143" s="101" t="s">
        <v>179</v>
      </c>
      <c r="P143" s="101" t="s">
        <v>180</v>
      </c>
      <c r="Q143" s="101" t="s">
        <v>181</v>
      </c>
      <c r="R143" s="101" t="s">
        <v>238</v>
      </c>
      <c r="S143" s="99" t="s">
        <v>239</v>
      </c>
      <c r="T143" s="45"/>
      <c r="U143" s="45"/>
      <c r="V143" s="45"/>
      <c r="W143" s="45"/>
      <c r="X143" s="45"/>
      <c r="Y143" s="45"/>
      <c r="Z143" s="45"/>
      <c r="AA143" s="45"/>
      <c r="AB143" s="45" t="s">
        <v>185</v>
      </c>
      <c r="AC143" s="45" t="s">
        <v>229</v>
      </c>
      <c r="AD143" s="45" t="s">
        <v>230</v>
      </c>
      <c r="AE143" s="45" t="s">
        <v>231</v>
      </c>
      <c r="AF143" s="45" t="s">
        <v>232</v>
      </c>
      <c r="AG143" s="45" t="s">
        <v>233</v>
      </c>
      <c r="AH143" s="45" t="s">
        <v>234</v>
      </c>
      <c r="AI143" s="45" t="s">
        <v>235</v>
      </c>
      <c r="AJ143" s="45" t="s">
        <v>236</v>
      </c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</row>
    <row r="144" spans="1:49" x14ac:dyDescent="0.25">
      <c r="A144" s="45"/>
      <c r="B144" s="97"/>
      <c r="C144" s="101"/>
      <c r="D144" s="101"/>
      <c r="E144" s="101"/>
      <c r="F144" s="101"/>
      <c r="G144" s="99"/>
      <c r="H144" s="45"/>
      <c r="I144" s="45"/>
      <c r="J144" s="45"/>
      <c r="K144" s="45"/>
      <c r="L144" s="45"/>
      <c r="M144" s="45"/>
      <c r="N144" s="97"/>
      <c r="O144" s="101"/>
      <c r="P144" s="101"/>
      <c r="Q144" s="101"/>
      <c r="R144" s="101"/>
      <c r="S144" s="99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</row>
    <row r="145" spans="1:49" x14ac:dyDescent="0.25">
      <c r="A145" s="45"/>
      <c r="B145" s="34" t="s">
        <v>173</v>
      </c>
      <c r="C145" s="3"/>
      <c r="D145" s="3"/>
      <c r="E145" s="3"/>
      <c r="F145" s="3"/>
      <c r="G145" s="30" t="s">
        <v>173</v>
      </c>
      <c r="H145" s="45"/>
      <c r="I145" s="45"/>
      <c r="J145" s="45"/>
      <c r="K145" s="45"/>
      <c r="L145" s="45"/>
      <c r="M145" s="45"/>
      <c r="N145" s="34" t="s">
        <v>173</v>
      </c>
      <c r="O145" s="3"/>
      <c r="P145" s="3"/>
      <c r="Q145" s="3"/>
      <c r="R145" s="3"/>
      <c r="S145" s="30" t="s">
        <v>173</v>
      </c>
      <c r="T145" s="45"/>
      <c r="U145" s="45"/>
      <c r="V145" s="45"/>
      <c r="W145" s="45"/>
      <c r="X145" s="45"/>
      <c r="Y145" s="45"/>
      <c r="Z145" s="45"/>
      <c r="AA145" s="45"/>
      <c r="AB145" s="45" t="s">
        <v>185</v>
      </c>
      <c r="AC145" s="45" t="s">
        <v>246</v>
      </c>
      <c r="AD145" s="45" t="s">
        <v>246</v>
      </c>
      <c r="AE145" s="45" t="s">
        <v>246</v>
      </c>
      <c r="AF145" s="45" t="s">
        <v>247</v>
      </c>
      <c r="AG145" s="45" t="s">
        <v>247</v>
      </c>
      <c r="AH145" s="45" t="s">
        <v>247</v>
      </c>
      <c r="AI145" s="45" t="s">
        <v>246</v>
      </c>
      <c r="AJ145" s="45" t="s">
        <v>246</v>
      </c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</row>
    <row r="146" spans="1:49" x14ac:dyDescent="0.25">
      <c r="A146" s="45"/>
      <c r="B146" s="34" t="s">
        <v>192</v>
      </c>
      <c r="C146" s="3" t="s">
        <v>192</v>
      </c>
      <c r="D146" s="3" t="s">
        <v>192</v>
      </c>
      <c r="E146" s="3" t="s">
        <v>192</v>
      </c>
      <c r="F146" s="3" t="s">
        <v>192</v>
      </c>
      <c r="G146" s="30" t="s">
        <v>192</v>
      </c>
      <c r="H146" s="45"/>
      <c r="I146" s="45"/>
      <c r="J146" s="45"/>
      <c r="K146" s="45"/>
      <c r="L146" s="45"/>
      <c r="M146" s="45"/>
      <c r="N146" s="30" t="s">
        <v>265</v>
      </c>
      <c r="O146" s="30" t="s">
        <v>265</v>
      </c>
      <c r="P146" s="30" t="s">
        <v>265</v>
      </c>
      <c r="Q146" s="30" t="s">
        <v>265</v>
      </c>
      <c r="R146" s="30" t="s">
        <v>265</v>
      </c>
      <c r="S146" s="30" t="s">
        <v>265</v>
      </c>
      <c r="T146" s="45"/>
      <c r="U146" s="45"/>
      <c r="V146" s="45"/>
      <c r="W146" s="45"/>
      <c r="X146" s="45"/>
      <c r="Y146" s="45"/>
      <c r="Z146" s="45"/>
      <c r="AA146" s="45"/>
      <c r="AB146" s="45" t="s">
        <v>196</v>
      </c>
      <c r="AC146" s="45" t="s">
        <v>196</v>
      </c>
      <c r="AD146" s="45" t="s">
        <v>196</v>
      </c>
      <c r="AE146" s="45" t="s">
        <v>196</v>
      </c>
      <c r="AF146" s="45" t="s">
        <v>196</v>
      </c>
      <c r="AG146" s="45" t="s">
        <v>196</v>
      </c>
      <c r="AH146" s="45" t="s">
        <v>196</v>
      </c>
      <c r="AI146" s="45" t="s">
        <v>196</v>
      </c>
      <c r="AJ146" s="45" t="s">
        <v>196</v>
      </c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</row>
    <row r="147" spans="1:49" x14ac:dyDescent="0.25">
      <c r="A147" s="4">
        <v>2020</v>
      </c>
      <c r="B147" s="56" t="s">
        <v>173</v>
      </c>
      <c r="C147" s="56" t="s">
        <v>173</v>
      </c>
      <c r="D147" s="56" t="s">
        <v>173</v>
      </c>
      <c r="E147" s="56" t="s">
        <v>173</v>
      </c>
      <c r="F147" s="56" t="s">
        <v>173</v>
      </c>
      <c r="G147" s="56" t="s">
        <v>173</v>
      </c>
      <c r="H147" s="45"/>
      <c r="I147" s="45"/>
      <c r="J147" s="45"/>
      <c r="K147" s="45"/>
      <c r="L147" s="45"/>
      <c r="M147" s="4">
        <v>2020</v>
      </c>
      <c r="N147" s="56" t="s">
        <v>173</v>
      </c>
      <c r="O147" s="56" t="s">
        <v>173</v>
      </c>
      <c r="P147" s="56" t="s">
        <v>173</v>
      </c>
      <c r="Q147" s="56" t="s">
        <v>173</v>
      </c>
      <c r="R147" s="56" t="s">
        <v>173</v>
      </c>
      <c r="S147" s="56" t="s">
        <v>173</v>
      </c>
      <c r="T147" s="45"/>
      <c r="U147" s="45"/>
      <c r="V147" s="45"/>
      <c r="W147" s="45"/>
      <c r="X147" s="45"/>
      <c r="Y147" s="45"/>
      <c r="Z147" s="45"/>
      <c r="AA147" s="45"/>
      <c r="AB147" s="59" t="s">
        <v>173</v>
      </c>
      <c r="AC147" s="59" t="s">
        <v>173</v>
      </c>
      <c r="AD147" s="59" t="s">
        <v>173</v>
      </c>
      <c r="AE147" s="59" t="s">
        <v>173</v>
      </c>
      <c r="AF147" s="59" t="s">
        <v>173</v>
      </c>
      <c r="AG147" s="59" t="s">
        <v>173</v>
      </c>
      <c r="AH147" s="59" t="s">
        <v>173</v>
      </c>
      <c r="AI147" s="59" t="s">
        <v>173</v>
      </c>
      <c r="AJ147" s="59" t="s">
        <v>173</v>
      </c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</row>
    <row r="148" spans="1:49" x14ac:dyDescent="0.25">
      <c r="A148" s="4">
        <v>2021</v>
      </c>
      <c r="B148" s="62" t="s">
        <v>173</v>
      </c>
      <c r="C148" s="38" t="s">
        <v>173</v>
      </c>
      <c r="D148" s="38" t="s">
        <v>173</v>
      </c>
      <c r="E148" s="38" t="s">
        <v>173</v>
      </c>
      <c r="F148" s="38" t="s">
        <v>173</v>
      </c>
      <c r="G148" s="63" t="s">
        <v>173</v>
      </c>
      <c r="H148" s="45"/>
      <c r="I148" s="45"/>
      <c r="J148" s="45"/>
      <c r="K148" s="45"/>
      <c r="L148" s="45"/>
      <c r="M148" s="4">
        <v>2021</v>
      </c>
      <c r="N148" s="62" t="s">
        <v>173</v>
      </c>
      <c r="O148" s="38" t="s">
        <v>173</v>
      </c>
      <c r="P148" s="38" t="s">
        <v>173</v>
      </c>
      <c r="Q148" s="38" t="s">
        <v>173</v>
      </c>
      <c r="R148" s="38" t="s">
        <v>173</v>
      </c>
      <c r="S148" s="63" t="s">
        <v>173</v>
      </c>
      <c r="T148" s="45"/>
      <c r="U148" s="45"/>
      <c r="V148" s="45"/>
      <c r="W148" s="45"/>
      <c r="X148" s="45"/>
      <c r="Y148" s="45"/>
      <c r="Z148" s="45"/>
      <c r="AA148" s="45"/>
      <c r="AB148" s="59" t="s">
        <v>173</v>
      </c>
      <c r="AC148" s="59" t="s">
        <v>173</v>
      </c>
      <c r="AD148" s="59" t="s">
        <v>173</v>
      </c>
      <c r="AE148" s="59" t="s">
        <v>173</v>
      </c>
      <c r="AF148" s="59" t="s">
        <v>173</v>
      </c>
      <c r="AG148" s="59" t="s">
        <v>173</v>
      </c>
      <c r="AH148" s="59" t="s">
        <v>173</v>
      </c>
      <c r="AI148" s="59" t="s">
        <v>173</v>
      </c>
      <c r="AJ148" s="59" t="s">
        <v>173</v>
      </c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</row>
    <row r="149" spans="1:49" x14ac:dyDescent="0.25">
      <c r="A149" s="4">
        <v>2022</v>
      </c>
      <c r="B149" s="62" t="s">
        <v>173</v>
      </c>
      <c r="C149" s="38" t="s">
        <v>173</v>
      </c>
      <c r="D149" s="38" t="s">
        <v>173</v>
      </c>
      <c r="E149" s="38" t="s">
        <v>173</v>
      </c>
      <c r="F149" s="38" t="s">
        <v>173</v>
      </c>
      <c r="G149" s="63" t="s">
        <v>173</v>
      </c>
      <c r="H149" s="45"/>
      <c r="I149" s="45"/>
      <c r="J149" s="45"/>
      <c r="K149" s="45"/>
      <c r="L149" s="45"/>
      <c r="M149" s="4">
        <v>2022</v>
      </c>
      <c r="N149" s="62" t="s">
        <v>173</v>
      </c>
      <c r="O149" s="38" t="s">
        <v>173</v>
      </c>
      <c r="P149" s="38" t="s">
        <v>173</v>
      </c>
      <c r="Q149" s="38" t="s">
        <v>173</v>
      </c>
      <c r="R149" s="38" t="s">
        <v>173</v>
      </c>
      <c r="S149" s="63" t="s">
        <v>173</v>
      </c>
      <c r="T149" s="45"/>
      <c r="U149" s="45"/>
      <c r="V149" s="45"/>
      <c r="W149" s="45"/>
      <c r="X149" s="45"/>
      <c r="Y149" s="45"/>
      <c r="Z149" s="45"/>
      <c r="AA149" s="45"/>
      <c r="AB149" s="59" t="s">
        <v>173</v>
      </c>
      <c r="AC149" s="59" t="s">
        <v>173</v>
      </c>
      <c r="AD149" s="59" t="s">
        <v>173</v>
      </c>
      <c r="AE149" s="59" t="s">
        <v>173</v>
      </c>
      <c r="AF149" s="59" t="s">
        <v>173</v>
      </c>
      <c r="AG149" s="59" t="s">
        <v>173</v>
      </c>
      <c r="AH149" s="59" t="s">
        <v>173</v>
      </c>
      <c r="AI149" s="59" t="s">
        <v>173</v>
      </c>
      <c r="AJ149" s="59" t="s">
        <v>173</v>
      </c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</row>
    <row r="150" spans="1:49" x14ac:dyDescent="0.25">
      <c r="A150" s="4">
        <v>2023</v>
      </c>
      <c r="B150" s="62" t="s">
        <v>173</v>
      </c>
      <c r="C150" s="38" t="s">
        <v>173</v>
      </c>
      <c r="D150" s="38" t="s">
        <v>173</v>
      </c>
      <c r="E150" s="38" t="s">
        <v>173</v>
      </c>
      <c r="F150" s="38" t="s">
        <v>173</v>
      </c>
      <c r="G150" s="63" t="s">
        <v>173</v>
      </c>
      <c r="H150" s="45"/>
      <c r="I150" s="45"/>
      <c r="J150" s="45"/>
      <c r="K150" s="45"/>
      <c r="L150" s="45"/>
      <c r="M150" s="4">
        <v>2023</v>
      </c>
      <c r="N150" s="62" t="s">
        <v>173</v>
      </c>
      <c r="O150" s="38" t="s">
        <v>173</v>
      </c>
      <c r="P150" s="38" t="s">
        <v>173</v>
      </c>
      <c r="Q150" s="38" t="s">
        <v>173</v>
      </c>
      <c r="R150" s="38" t="s">
        <v>173</v>
      </c>
      <c r="S150" s="63" t="s">
        <v>173</v>
      </c>
      <c r="T150" s="45"/>
      <c r="U150" s="45"/>
      <c r="V150" s="45"/>
      <c r="W150" s="45"/>
      <c r="X150" s="45"/>
      <c r="Y150" s="45"/>
      <c r="Z150" s="45"/>
      <c r="AA150" s="45"/>
      <c r="AB150" s="59" t="s">
        <v>173</v>
      </c>
      <c r="AC150" s="59" t="s">
        <v>173</v>
      </c>
      <c r="AD150" s="59" t="s">
        <v>173</v>
      </c>
      <c r="AE150" s="59" t="s">
        <v>173</v>
      </c>
      <c r="AF150" s="59" t="s">
        <v>173</v>
      </c>
      <c r="AG150" s="59" t="s">
        <v>173</v>
      </c>
      <c r="AH150" s="59" t="s">
        <v>173</v>
      </c>
      <c r="AI150" s="59" t="s">
        <v>173</v>
      </c>
      <c r="AJ150" s="59" t="s">
        <v>173</v>
      </c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</row>
    <row r="151" spans="1:49" x14ac:dyDescent="0.25">
      <c r="A151" s="4">
        <v>2024</v>
      </c>
      <c r="B151" s="62" t="s">
        <v>173</v>
      </c>
      <c r="C151" s="38" t="s">
        <v>173</v>
      </c>
      <c r="D151" s="38" t="s">
        <v>173</v>
      </c>
      <c r="E151" s="38" t="s">
        <v>173</v>
      </c>
      <c r="F151" s="38" t="s">
        <v>173</v>
      </c>
      <c r="G151" s="63" t="s">
        <v>173</v>
      </c>
      <c r="H151" s="45"/>
      <c r="I151" s="45"/>
      <c r="J151" s="45"/>
      <c r="K151" s="45"/>
      <c r="L151" s="45"/>
      <c r="M151" s="4">
        <v>2024</v>
      </c>
      <c r="N151" s="62" t="s">
        <v>173</v>
      </c>
      <c r="O151" s="38" t="s">
        <v>173</v>
      </c>
      <c r="P151" s="38" t="s">
        <v>173</v>
      </c>
      <c r="Q151" s="38" t="s">
        <v>173</v>
      </c>
      <c r="R151" s="38" t="s">
        <v>173</v>
      </c>
      <c r="S151" s="63" t="s">
        <v>173</v>
      </c>
      <c r="T151" s="45"/>
      <c r="U151" s="45"/>
      <c r="V151" s="45"/>
      <c r="W151" s="45"/>
      <c r="X151" s="45"/>
      <c r="Y151" s="45"/>
      <c r="Z151" s="45"/>
      <c r="AA151" s="45"/>
      <c r="AB151" s="59" t="s">
        <v>173</v>
      </c>
      <c r="AC151" s="59" t="s">
        <v>173</v>
      </c>
      <c r="AD151" s="59" t="s">
        <v>173</v>
      </c>
      <c r="AE151" s="59" t="s">
        <v>173</v>
      </c>
      <c r="AF151" s="59" t="s">
        <v>173</v>
      </c>
      <c r="AG151" s="59" t="s">
        <v>173</v>
      </c>
      <c r="AH151" s="59" t="s">
        <v>173</v>
      </c>
      <c r="AI151" s="59" t="s">
        <v>173</v>
      </c>
      <c r="AJ151" s="59" t="s">
        <v>173</v>
      </c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</row>
    <row r="152" spans="1:49" x14ac:dyDescent="0.25">
      <c r="A152" s="4">
        <v>2025</v>
      </c>
      <c r="B152" s="62" t="s">
        <v>173</v>
      </c>
      <c r="C152" s="38" t="s">
        <v>173</v>
      </c>
      <c r="D152" s="38" t="s">
        <v>173</v>
      </c>
      <c r="E152" s="38" t="s">
        <v>173</v>
      </c>
      <c r="F152" s="38" t="s">
        <v>173</v>
      </c>
      <c r="G152" s="63" t="s">
        <v>173</v>
      </c>
      <c r="H152" s="45"/>
      <c r="I152" s="45"/>
      <c r="J152" s="45"/>
      <c r="K152" s="45"/>
      <c r="L152" s="45"/>
      <c r="M152" s="4">
        <v>2025</v>
      </c>
      <c r="N152" s="62" t="s">
        <v>173</v>
      </c>
      <c r="O152" s="38" t="s">
        <v>173</v>
      </c>
      <c r="P152" s="38" t="s">
        <v>173</v>
      </c>
      <c r="Q152" s="38" t="s">
        <v>173</v>
      </c>
      <c r="R152" s="38" t="s">
        <v>173</v>
      </c>
      <c r="S152" s="63" t="s">
        <v>173</v>
      </c>
      <c r="T152" s="45"/>
      <c r="U152" s="45"/>
      <c r="V152" s="45"/>
      <c r="W152" s="45"/>
      <c r="X152" s="45"/>
      <c r="Y152" s="45"/>
      <c r="Z152" s="45"/>
      <c r="AA152" s="45"/>
      <c r="AB152" s="59" t="s">
        <v>173</v>
      </c>
      <c r="AC152" s="59" t="s">
        <v>173</v>
      </c>
      <c r="AD152" s="59" t="s">
        <v>173</v>
      </c>
      <c r="AE152" s="59" t="s">
        <v>173</v>
      </c>
      <c r="AF152" s="59" t="s">
        <v>173</v>
      </c>
      <c r="AG152" s="59" t="s">
        <v>173</v>
      </c>
      <c r="AH152" s="59" t="s">
        <v>173</v>
      </c>
      <c r="AI152" s="59" t="s">
        <v>173</v>
      </c>
      <c r="AJ152" s="59" t="s">
        <v>173</v>
      </c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</row>
    <row r="153" spans="1:49" x14ac:dyDescent="0.25">
      <c r="A153" s="37">
        <v>2026</v>
      </c>
      <c r="B153" s="62">
        <v>4.3874040000000001E-3</v>
      </c>
      <c r="C153" s="62">
        <v>3.9277909999999999E-3</v>
      </c>
      <c r="D153" s="62">
        <v>4.4323369999999997E-3</v>
      </c>
      <c r="E153" s="62">
        <v>4.1620930000000004E-3</v>
      </c>
      <c r="F153" s="62">
        <v>3.1120229999999998E-3</v>
      </c>
      <c r="G153" s="62">
        <v>3.1120229999999998E-3</v>
      </c>
      <c r="H153" s="45"/>
      <c r="I153" s="45"/>
      <c r="J153" s="45"/>
      <c r="K153" s="45"/>
      <c r="L153" s="45"/>
      <c r="M153" s="37">
        <v>2026</v>
      </c>
      <c r="N153" s="62">
        <v>2687.8090000000002</v>
      </c>
      <c r="O153" s="62">
        <v>2687.8090000000002</v>
      </c>
      <c r="P153" s="62">
        <v>2687.8090000000002</v>
      </c>
      <c r="Q153" s="62">
        <v>2687.8092999999999</v>
      </c>
      <c r="R153" s="62">
        <v>2687.8090000000002</v>
      </c>
      <c r="S153" s="62">
        <v>2687.8090000000002</v>
      </c>
      <c r="T153" s="45"/>
      <c r="U153" s="45"/>
      <c r="V153" s="45"/>
      <c r="W153" s="45"/>
      <c r="X153" s="45"/>
      <c r="Y153" s="45"/>
      <c r="Z153" s="45"/>
      <c r="AA153" s="37">
        <v>2026</v>
      </c>
      <c r="AB153" s="59">
        <v>2.6878090000000002E-3</v>
      </c>
      <c r="AC153" s="59">
        <v>8.0634279999999992E-3</v>
      </c>
      <c r="AD153" s="59">
        <v>8.0634000000000001E-3</v>
      </c>
      <c r="AE153" s="59">
        <v>8.0634000000000001E-3</v>
      </c>
      <c r="AF153" s="59">
        <v>8.0634279999999992E-3</v>
      </c>
      <c r="AG153" s="59">
        <v>8.0634000000000001E-3</v>
      </c>
      <c r="AH153" s="59">
        <v>8.0634000000000001E-3</v>
      </c>
      <c r="AI153" s="59">
        <v>8.0634279999999992E-3</v>
      </c>
      <c r="AJ153" s="59">
        <v>8.0634279999999992E-3</v>
      </c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</row>
    <row r="154" spans="1:49" x14ac:dyDescent="0.25">
      <c r="A154" s="4">
        <v>2027</v>
      </c>
      <c r="B154" s="62">
        <v>4.4091909999999998E-3</v>
      </c>
      <c r="C154" s="62">
        <v>4.0083080000000004E-3</v>
      </c>
      <c r="D154" s="62">
        <v>4.5598770000000004E-3</v>
      </c>
      <c r="E154" s="62">
        <v>4.3072529999999996E-3</v>
      </c>
      <c r="F154" s="62">
        <v>3.1656470000000002E-3</v>
      </c>
      <c r="G154" s="62">
        <v>3.1656470000000002E-3</v>
      </c>
      <c r="H154" s="45"/>
      <c r="I154" s="45"/>
      <c r="J154" s="45"/>
      <c r="K154" s="45"/>
      <c r="L154" s="45"/>
      <c r="M154" s="4">
        <v>2027</v>
      </c>
      <c r="N154" s="62">
        <v>2783.7570000000001</v>
      </c>
      <c r="O154" s="62">
        <v>2783.7570000000001</v>
      </c>
      <c r="P154" s="62">
        <v>2783.7570000000001</v>
      </c>
      <c r="Q154" s="62">
        <v>2783.7568000000001</v>
      </c>
      <c r="R154" s="62">
        <v>2783.7570000000001</v>
      </c>
      <c r="S154" s="62">
        <v>2783.7570000000001</v>
      </c>
      <c r="T154" s="45"/>
      <c r="U154" s="47" t="s">
        <v>268</v>
      </c>
      <c r="V154" s="48"/>
      <c r="W154" s="48"/>
      <c r="X154" s="48"/>
      <c r="Y154" s="48"/>
      <c r="Z154" s="48"/>
      <c r="AA154" s="4">
        <v>2027</v>
      </c>
      <c r="AB154" s="59">
        <v>2.783757E-3</v>
      </c>
      <c r="AC154" s="59">
        <v>8.3512699999999992E-3</v>
      </c>
      <c r="AD154" s="59">
        <v>8.3513000000000007E-3</v>
      </c>
      <c r="AE154" s="59">
        <v>8.3513000000000007E-3</v>
      </c>
      <c r="AF154" s="59">
        <v>8.3512699999999992E-3</v>
      </c>
      <c r="AG154" s="59">
        <v>8.3513000000000007E-3</v>
      </c>
      <c r="AH154" s="59">
        <v>8.3513000000000007E-3</v>
      </c>
      <c r="AI154" s="59">
        <v>8.3512699999999992E-3</v>
      </c>
      <c r="AJ154" s="59">
        <v>8.3512699999999992E-3</v>
      </c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</row>
    <row r="155" spans="1:49" x14ac:dyDescent="0.25">
      <c r="A155" s="4">
        <v>2028</v>
      </c>
      <c r="B155" s="62">
        <v>4.4236470000000002E-3</v>
      </c>
      <c r="C155" s="62">
        <v>4.0865240000000002E-3</v>
      </c>
      <c r="D155" s="62">
        <v>4.6873840000000002E-3</v>
      </c>
      <c r="E155" s="62">
        <v>4.4541559999999999E-3</v>
      </c>
      <c r="F155" s="62">
        <v>3.2167390000000001E-3</v>
      </c>
      <c r="G155" s="62">
        <v>3.2167390000000001E-3</v>
      </c>
      <c r="H155" s="45"/>
      <c r="I155" s="45"/>
      <c r="J155" s="45"/>
      <c r="K155" s="45"/>
      <c r="L155" s="45"/>
      <c r="M155" s="4">
        <v>2028</v>
      </c>
      <c r="N155" s="62">
        <v>2880.9839999999999</v>
      </c>
      <c r="O155" s="62">
        <v>2880.9839999999999</v>
      </c>
      <c r="P155" s="62">
        <v>2880.9839999999999</v>
      </c>
      <c r="Q155" s="62">
        <v>2880.9836</v>
      </c>
      <c r="R155" s="62">
        <v>2880.9839999999999</v>
      </c>
      <c r="S155" s="62">
        <v>2880.9839999999999</v>
      </c>
      <c r="T155" s="45"/>
      <c r="U155" s="45"/>
      <c r="V155" s="45"/>
      <c r="W155" s="45"/>
      <c r="X155" s="45"/>
      <c r="Y155" s="45"/>
      <c r="Z155" s="45"/>
      <c r="AA155" s="4">
        <v>2028</v>
      </c>
      <c r="AB155" s="59">
        <v>2.8809840000000001E-3</v>
      </c>
      <c r="AC155" s="59">
        <v>8.6429509999999994E-3</v>
      </c>
      <c r="AD155" s="59">
        <v>8.6429999999999996E-3</v>
      </c>
      <c r="AE155" s="59">
        <v>8.6429999999999996E-3</v>
      </c>
      <c r="AF155" s="59">
        <v>8.6429509999999994E-3</v>
      </c>
      <c r="AG155" s="59">
        <v>8.6429999999999996E-3</v>
      </c>
      <c r="AH155" s="59">
        <v>8.6429999999999996E-3</v>
      </c>
      <c r="AI155" s="59">
        <v>8.6429509999999994E-3</v>
      </c>
      <c r="AJ155" s="59">
        <v>8.6429509999999994E-3</v>
      </c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</row>
    <row r="156" spans="1:49" x14ac:dyDescent="0.25">
      <c r="A156" s="4">
        <v>2029</v>
      </c>
      <c r="B156" s="62">
        <v>4.4267830000000001E-3</v>
      </c>
      <c r="C156" s="62">
        <v>4.1587830000000001E-3</v>
      </c>
      <c r="D156" s="62">
        <v>4.8106800000000003E-3</v>
      </c>
      <c r="E156" s="62">
        <v>4.5988449999999998E-3</v>
      </c>
      <c r="F156" s="62">
        <v>3.2624139999999999E-3</v>
      </c>
      <c r="G156" s="62">
        <v>3.2624139999999999E-3</v>
      </c>
      <c r="H156" s="45"/>
      <c r="I156" s="45"/>
      <c r="J156" s="45"/>
      <c r="K156" s="45"/>
      <c r="L156" s="45"/>
      <c r="M156" s="4">
        <v>2029</v>
      </c>
      <c r="N156" s="62">
        <v>2976.931</v>
      </c>
      <c r="O156" s="62">
        <v>2976.931</v>
      </c>
      <c r="P156" s="62">
        <v>2976.931</v>
      </c>
      <c r="Q156" s="62">
        <v>2976.9310999999998</v>
      </c>
      <c r="R156" s="62">
        <v>2976.931</v>
      </c>
      <c r="S156" s="62">
        <v>2976.931</v>
      </c>
      <c r="T156" s="45"/>
      <c r="U156" s="45"/>
      <c r="V156" s="45"/>
      <c r="W156" s="45"/>
      <c r="X156" s="45"/>
      <c r="Y156" s="45"/>
      <c r="Z156" s="45"/>
      <c r="AA156" s="4">
        <v>2029</v>
      </c>
      <c r="AB156" s="59">
        <v>2.9769309999999999E-3</v>
      </c>
      <c r="AC156" s="59">
        <v>8.9307929999999994E-3</v>
      </c>
      <c r="AD156" s="59">
        <v>8.9307999999999992E-3</v>
      </c>
      <c r="AE156" s="59">
        <v>8.9307999999999992E-3</v>
      </c>
      <c r="AF156" s="59">
        <v>8.9307929999999994E-3</v>
      </c>
      <c r="AG156" s="59">
        <v>8.9307999999999992E-3</v>
      </c>
      <c r="AH156" s="59">
        <v>8.9307999999999992E-3</v>
      </c>
      <c r="AI156" s="59">
        <v>8.9307929999999994E-3</v>
      </c>
      <c r="AJ156" s="59">
        <v>8.9307929999999994E-3</v>
      </c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</row>
    <row r="157" spans="1:49" x14ac:dyDescent="0.25">
      <c r="A157" s="4">
        <v>2030</v>
      </c>
      <c r="B157" s="62">
        <v>4.4224640000000001E-3</v>
      </c>
      <c r="C157" s="62">
        <v>4.2286870000000001E-3</v>
      </c>
      <c r="D157" s="62">
        <v>4.9339140000000002E-3</v>
      </c>
      <c r="E157" s="62">
        <v>4.7452730000000004E-3</v>
      </c>
      <c r="F157" s="62">
        <v>3.305503E-3</v>
      </c>
      <c r="G157" s="62">
        <v>3.305503E-3</v>
      </c>
      <c r="H157" s="45"/>
      <c r="I157" s="45"/>
      <c r="J157" s="45"/>
      <c r="K157" s="45"/>
      <c r="L157" s="45"/>
      <c r="M157" s="4">
        <v>2030</v>
      </c>
      <c r="N157" s="62">
        <v>3074.1579999999999</v>
      </c>
      <c r="O157" s="62">
        <v>3074.1579999999999</v>
      </c>
      <c r="P157" s="62">
        <v>3074.1579999999999</v>
      </c>
      <c r="Q157" s="62">
        <v>3074.1579000000002</v>
      </c>
      <c r="R157" s="62">
        <v>3074.1579999999999</v>
      </c>
      <c r="S157" s="62">
        <v>3074.1579999999999</v>
      </c>
      <c r="T157" s="45"/>
      <c r="U157" s="45"/>
      <c r="V157" s="45"/>
      <c r="W157" s="45"/>
      <c r="X157" s="45"/>
      <c r="Y157" s="45"/>
      <c r="Z157" s="45"/>
      <c r="AA157" s="4">
        <v>2030</v>
      </c>
      <c r="AB157" s="59">
        <v>3.074158E-3</v>
      </c>
      <c r="AC157" s="59">
        <v>9.2224739999999996E-3</v>
      </c>
      <c r="AD157" s="59">
        <v>9.2224999999999998E-3</v>
      </c>
      <c r="AE157" s="59">
        <v>9.2224999999999998E-3</v>
      </c>
      <c r="AF157" s="59">
        <v>9.2224739999999996E-3</v>
      </c>
      <c r="AG157" s="59">
        <v>9.2224999999999998E-3</v>
      </c>
      <c r="AH157" s="59">
        <v>9.2224999999999998E-3</v>
      </c>
      <c r="AI157" s="59">
        <v>9.2224739999999996E-3</v>
      </c>
      <c r="AJ157" s="59">
        <v>9.2224739999999996E-3</v>
      </c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</row>
    <row r="158" spans="1:49" x14ac:dyDescent="0.25">
      <c r="A158" s="4">
        <v>2031</v>
      </c>
      <c r="B158" s="62">
        <v>4.132915E-3</v>
      </c>
      <c r="C158" s="62">
        <v>3.9600909999999998E-3</v>
      </c>
      <c r="D158" s="62">
        <v>4.6737699999999998E-3</v>
      </c>
      <c r="E158" s="62">
        <v>4.4485779999999999E-3</v>
      </c>
      <c r="F158" s="62">
        <v>2.9847279999999999E-3</v>
      </c>
      <c r="G158" s="62">
        <v>2.9847279999999999E-3</v>
      </c>
      <c r="H158" s="45"/>
      <c r="I158" s="45"/>
      <c r="J158" s="45"/>
      <c r="K158" s="45"/>
      <c r="L158" s="45"/>
      <c r="M158" s="4">
        <v>2031</v>
      </c>
      <c r="N158" s="62">
        <v>3185.4569999999999</v>
      </c>
      <c r="O158" s="62">
        <v>3185.4569999999999</v>
      </c>
      <c r="P158" s="62">
        <v>3185.4569999999999</v>
      </c>
      <c r="Q158" s="62">
        <v>3185.4569999999999</v>
      </c>
      <c r="R158" s="62">
        <v>3185.4569999999999</v>
      </c>
      <c r="S158" s="62">
        <v>3185.4569999999999</v>
      </c>
      <c r="T158" s="45"/>
      <c r="U158" s="45"/>
      <c r="V158" s="45"/>
      <c r="W158" s="45"/>
      <c r="X158" s="45"/>
      <c r="Y158" s="45"/>
      <c r="Z158" s="45"/>
      <c r="AA158" s="4">
        <v>2031</v>
      </c>
      <c r="AB158" s="59">
        <v>3.185457E-3</v>
      </c>
      <c r="AC158" s="59">
        <v>9.5563709999999993E-3</v>
      </c>
      <c r="AD158" s="59">
        <v>9.5563999999999996E-3</v>
      </c>
      <c r="AE158" s="59">
        <v>9.5563999999999996E-3</v>
      </c>
      <c r="AF158" s="59">
        <v>9.5563709999999993E-3</v>
      </c>
      <c r="AG158" s="59">
        <v>9.5563999999999996E-3</v>
      </c>
      <c r="AH158" s="59">
        <v>9.5563999999999996E-3</v>
      </c>
      <c r="AI158" s="59">
        <v>9.5563709999999993E-3</v>
      </c>
      <c r="AJ158" s="59">
        <v>9.5563709999999993E-3</v>
      </c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</row>
    <row r="159" spans="1:49" x14ac:dyDescent="0.25">
      <c r="A159" s="4">
        <v>2032</v>
      </c>
      <c r="B159" s="62">
        <v>3.8134229999999998E-3</v>
      </c>
      <c r="C159" s="62">
        <v>3.6634480000000001E-3</v>
      </c>
      <c r="D159" s="62">
        <v>4.3846650000000003E-3</v>
      </c>
      <c r="E159" s="62">
        <v>4.120744E-3</v>
      </c>
      <c r="F159" s="62">
        <v>2.6341960000000001E-3</v>
      </c>
      <c r="G159" s="62">
        <v>2.6341960000000001E-3</v>
      </c>
      <c r="H159" s="45"/>
      <c r="I159" s="45"/>
      <c r="J159" s="45"/>
      <c r="K159" s="45"/>
      <c r="L159" s="45"/>
      <c r="M159" s="4">
        <v>2032</v>
      </c>
      <c r="N159" s="62">
        <v>3298.0349999999999</v>
      </c>
      <c r="O159" s="62">
        <v>3298.0349999999999</v>
      </c>
      <c r="P159" s="62">
        <v>3298.0349999999999</v>
      </c>
      <c r="Q159" s="62">
        <v>3298.0354000000002</v>
      </c>
      <c r="R159" s="62">
        <v>3298.0349999999999</v>
      </c>
      <c r="S159" s="62">
        <v>3298.0349999999999</v>
      </c>
      <c r="T159" s="45"/>
      <c r="U159" s="45"/>
      <c r="V159" s="45"/>
      <c r="W159" s="45"/>
      <c r="X159" s="45"/>
      <c r="Y159" s="45"/>
      <c r="Z159" s="45"/>
      <c r="AA159" s="4">
        <v>2032</v>
      </c>
      <c r="AB159" s="59">
        <v>3.2980349999999999E-3</v>
      </c>
      <c r="AC159" s="59">
        <v>9.8941059999999997E-3</v>
      </c>
      <c r="AD159" s="59">
        <v>9.8940999999999994E-3</v>
      </c>
      <c r="AE159" s="59">
        <v>9.8940999999999994E-3</v>
      </c>
      <c r="AF159" s="59">
        <v>9.8941059999999997E-3</v>
      </c>
      <c r="AG159" s="59">
        <v>9.8940999999999994E-3</v>
      </c>
      <c r="AH159" s="59">
        <v>9.8940999999999994E-3</v>
      </c>
      <c r="AI159" s="59">
        <v>9.8941059999999997E-3</v>
      </c>
      <c r="AJ159" s="59">
        <v>9.8941059999999997E-3</v>
      </c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</row>
    <row r="160" spans="1:49" x14ac:dyDescent="0.25">
      <c r="A160" s="4">
        <v>2033</v>
      </c>
      <c r="B160" s="62">
        <v>3.462148E-3</v>
      </c>
      <c r="C160" s="62">
        <v>3.3369990000000002E-3</v>
      </c>
      <c r="D160" s="62">
        <v>4.0645459999999996E-3</v>
      </c>
      <c r="E160" s="62">
        <v>3.7597949999999998E-3</v>
      </c>
      <c r="F160" s="62">
        <v>2.2525319999999998E-3</v>
      </c>
      <c r="G160" s="62">
        <v>2.2525319999999998E-3</v>
      </c>
      <c r="H160" s="45"/>
      <c r="I160" s="45"/>
      <c r="J160" s="45"/>
      <c r="K160" s="45"/>
      <c r="L160" s="45"/>
      <c r="M160" s="4">
        <v>2033</v>
      </c>
      <c r="N160" s="62">
        <v>3410.614</v>
      </c>
      <c r="O160" s="62">
        <v>3410.614</v>
      </c>
      <c r="P160" s="62">
        <v>3410.614</v>
      </c>
      <c r="Q160" s="62">
        <v>3410.6138000000001</v>
      </c>
      <c r="R160" s="62">
        <v>3410.614</v>
      </c>
      <c r="S160" s="62">
        <v>3410.614</v>
      </c>
      <c r="T160" s="45"/>
      <c r="U160" s="45"/>
      <c r="V160" s="45"/>
      <c r="W160" s="45"/>
      <c r="X160" s="45"/>
      <c r="Y160" s="45"/>
      <c r="Z160" s="45"/>
      <c r="AA160" s="4">
        <v>2033</v>
      </c>
      <c r="AB160" s="59">
        <v>3.4106140000000002E-3</v>
      </c>
      <c r="AC160" s="59">
        <v>1.0231841E-2</v>
      </c>
      <c r="AD160" s="59">
        <v>1.0231799999999999E-2</v>
      </c>
      <c r="AE160" s="59">
        <v>1.0231799999999999E-2</v>
      </c>
      <c r="AF160" s="59">
        <v>1.0231841E-2</v>
      </c>
      <c r="AG160" s="59">
        <v>1.0231799999999999E-2</v>
      </c>
      <c r="AH160" s="59">
        <v>1.0231799999999999E-2</v>
      </c>
      <c r="AI160" s="59">
        <v>1.0231841E-2</v>
      </c>
      <c r="AJ160" s="59">
        <v>1.0231841E-2</v>
      </c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</row>
    <row r="161" spans="1:49" x14ac:dyDescent="0.25">
      <c r="A161" s="4">
        <v>2034</v>
      </c>
      <c r="B161" s="62">
        <v>3.0790890000000001E-3</v>
      </c>
      <c r="C161" s="62">
        <v>2.980744E-3</v>
      </c>
      <c r="D161" s="62">
        <v>3.713413E-3</v>
      </c>
      <c r="E161" s="62">
        <v>3.3657320000000002E-3</v>
      </c>
      <c r="F161" s="62">
        <v>1.839736E-3</v>
      </c>
      <c r="G161" s="62">
        <v>1.839736E-3</v>
      </c>
      <c r="H161" s="45"/>
      <c r="I161" s="45"/>
      <c r="J161" s="45"/>
      <c r="K161" s="45"/>
      <c r="L161" s="45"/>
      <c r="M161" s="4">
        <v>2034</v>
      </c>
      <c r="N161" s="62">
        <v>3523.192</v>
      </c>
      <c r="O161" s="62">
        <v>3523.192</v>
      </c>
      <c r="P161" s="62">
        <v>3523.192</v>
      </c>
      <c r="Q161" s="62">
        <v>3523.1922</v>
      </c>
      <c r="R161" s="62">
        <v>3523.192</v>
      </c>
      <c r="S161" s="62">
        <v>3523.192</v>
      </c>
      <c r="T161" s="45"/>
      <c r="U161" s="45"/>
      <c r="V161" s="45"/>
      <c r="W161" s="45"/>
      <c r="X161" s="45"/>
      <c r="Y161" s="45"/>
      <c r="Z161" s="45"/>
      <c r="AA161" s="4">
        <v>2034</v>
      </c>
      <c r="AB161" s="59">
        <v>3.5231920000000001E-3</v>
      </c>
      <c r="AC161" s="59">
        <v>1.0569577E-2</v>
      </c>
      <c r="AD161" s="59">
        <v>1.05696E-2</v>
      </c>
      <c r="AE161" s="59">
        <v>1.05696E-2</v>
      </c>
      <c r="AF161" s="59">
        <v>1.0569577E-2</v>
      </c>
      <c r="AG161" s="59">
        <v>1.05696E-2</v>
      </c>
      <c r="AH161" s="59">
        <v>1.05696E-2</v>
      </c>
      <c r="AI161" s="59">
        <v>1.0569577E-2</v>
      </c>
      <c r="AJ161" s="59">
        <v>1.0569577E-2</v>
      </c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</row>
    <row r="162" spans="1:49" x14ac:dyDescent="0.25">
      <c r="A162" s="4">
        <v>2035</v>
      </c>
      <c r="B162" s="62">
        <v>2.6642469999999998E-3</v>
      </c>
      <c r="C162" s="62">
        <v>2.5946820000000001E-3</v>
      </c>
      <c r="D162" s="62">
        <v>3.3312659999999998E-3</v>
      </c>
      <c r="E162" s="62">
        <v>2.9385539999999999E-3</v>
      </c>
      <c r="F162" s="62">
        <v>1.3958079999999999E-3</v>
      </c>
      <c r="G162" s="62">
        <v>1.3958079999999999E-3</v>
      </c>
      <c r="H162" s="45"/>
      <c r="I162" s="45"/>
      <c r="J162" s="45"/>
      <c r="K162" s="45"/>
      <c r="L162" s="45"/>
      <c r="M162" s="4">
        <v>2035</v>
      </c>
      <c r="N162" s="62">
        <v>3635.7710000000002</v>
      </c>
      <c r="O162" s="62">
        <v>3635.7710000000002</v>
      </c>
      <c r="P162" s="62">
        <v>3635.7710000000002</v>
      </c>
      <c r="Q162" s="62">
        <v>3635.7705999999998</v>
      </c>
      <c r="R162" s="62">
        <v>3635.7710000000002</v>
      </c>
      <c r="S162" s="62">
        <v>3635.7710000000002</v>
      </c>
      <c r="T162" s="45"/>
      <c r="U162" s="45"/>
      <c r="V162" s="45"/>
      <c r="W162" s="45"/>
      <c r="X162" s="45"/>
      <c r="Y162" s="45"/>
      <c r="Z162" s="45"/>
      <c r="AA162" s="4">
        <v>2035</v>
      </c>
      <c r="AB162" s="59">
        <v>3.6357709999999999E-3</v>
      </c>
      <c r="AC162" s="59">
        <v>1.0907312000000001E-2</v>
      </c>
      <c r="AD162" s="59">
        <v>1.09073E-2</v>
      </c>
      <c r="AE162" s="59">
        <v>1.09073E-2</v>
      </c>
      <c r="AF162" s="59">
        <v>1.0907312000000001E-2</v>
      </c>
      <c r="AG162" s="59">
        <v>1.09073E-2</v>
      </c>
      <c r="AH162" s="59">
        <v>1.09073E-2</v>
      </c>
      <c r="AI162" s="59">
        <v>1.0907312000000001E-2</v>
      </c>
      <c r="AJ162" s="59">
        <v>1.0907312000000001E-2</v>
      </c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</row>
    <row r="163" spans="1:49" x14ac:dyDescent="0.25">
      <c r="A163" s="4">
        <v>2036</v>
      </c>
      <c r="B163" s="62">
        <v>2.6842709999999998E-3</v>
      </c>
      <c r="C163" s="62">
        <v>2.5765480000000001E-3</v>
      </c>
      <c r="D163" s="62">
        <v>3.2049650000000002E-3</v>
      </c>
      <c r="E163" s="62">
        <v>2.8520189999999999E-3</v>
      </c>
      <c r="F163" s="62">
        <v>1.4110749999999999E-3</v>
      </c>
      <c r="G163" s="62">
        <v>1.4110749999999999E-3</v>
      </c>
      <c r="H163" s="45"/>
      <c r="I163" s="45"/>
      <c r="J163" s="45"/>
      <c r="K163" s="45"/>
      <c r="L163" s="45"/>
      <c r="M163" s="4">
        <v>2036</v>
      </c>
      <c r="N163" s="62">
        <v>3747.07</v>
      </c>
      <c r="O163" s="62">
        <v>3747.07</v>
      </c>
      <c r="P163" s="62">
        <v>3747.07</v>
      </c>
      <c r="Q163" s="62">
        <v>3747.0697</v>
      </c>
      <c r="R163" s="62">
        <v>3747.07</v>
      </c>
      <c r="S163" s="62">
        <v>3747.07</v>
      </c>
      <c r="T163" s="45"/>
      <c r="U163" s="45"/>
      <c r="V163" s="45"/>
      <c r="W163" s="45"/>
      <c r="X163" s="45"/>
      <c r="Y163" s="45"/>
      <c r="Z163" s="45"/>
      <c r="AA163" s="4">
        <v>2036</v>
      </c>
      <c r="AB163" s="59">
        <v>3.7470699999999999E-3</v>
      </c>
      <c r="AC163" s="59">
        <v>1.1241209E-2</v>
      </c>
      <c r="AD163" s="59">
        <v>1.12412E-2</v>
      </c>
      <c r="AE163" s="59">
        <v>1.12412E-2</v>
      </c>
      <c r="AF163" s="59">
        <v>1.1241209E-2</v>
      </c>
      <c r="AG163" s="59">
        <v>1.12412E-2</v>
      </c>
      <c r="AH163" s="59">
        <v>1.12412E-2</v>
      </c>
      <c r="AI163" s="59">
        <v>1.1241209E-2</v>
      </c>
      <c r="AJ163" s="59">
        <v>1.1241209E-2</v>
      </c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</row>
    <row r="164" spans="1:49" x14ac:dyDescent="0.25">
      <c r="A164" s="4">
        <v>2037</v>
      </c>
      <c r="B164" s="62">
        <v>2.7015350000000001E-3</v>
      </c>
      <c r="C164" s="62">
        <v>2.553465E-3</v>
      </c>
      <c r="D164" s="62">
        <v>3.066119E-3</v>
      </c>
      <c r="E164" s="62">
        <v>2.755913E-3</v>
      </c>
      <c r="F164" s="62">
        <v>1.425183E-3</v>
      </c>
      <c r="G164" s="62">
        <v>1.425183E-3</v>
      </c>
      <c r="H164" s="45"/>
      <c r="I164" s="45"/>
      <c r="J164" s="45"/>
      <c r="K164" s="45"/>
      <c r="L164" s="45"/>
      <c r="M164" s="4">
        <v>2037</v>
      </c>
      <c r="N164" s="62">
        <v>3859.6480000000001</v>
      </c>
      <c r="O164" s="62">
        <v>3859.6480000000001</v>
      </c>
      <c r="P164" s="62">
        <v>3859.6480000000001</v>
      </c>
      <c r="Q164" s="62">
        <v>3859.6480999999999</v>
      </c>
      <c r="R164" s="62">
        <v>3859.6480000000001</v>
      </c>
      <c r="S164" s="62">
        <v>3859.6480000000001</v>
      </c>
      <c r="T164" s="45"/>
      <c r="U164" s="45"/>
      <c r="V164" s="45"/>
      <c r="W164" s="45"/>
      <c r="X164" s="45"/>
      <c r="Y164" s="45"/>
      <c r="Z164" s="45"/>
      <c r="AA164" s="4">
        <v>2037</v>
      </c>
      <c r="AB164" s="59">
        <v>3.8596479999999998E-3</v>
      </c>
      <c r="AC164" s="59">
        <v>1.1578944000000001E-2</v>
      </c>
      <c r="AD164" s="59">
        <v>1.15789E-2</v>
      </c>
      <c r="AE164" s="59">
        <v>1.15789E-2</v>
      </c>
      <c r="AF164" s="59">
        <v>1.1578944000000001E-2</v>
      </c>
      <c r="AG164" s="59">
        <v>1.15789E-2</v>
      </c>
      <c r="AH164" s="59">
        <v>1.15789E-2</v>
      </c>
      <c r="AI164" s="59">
        <v>1.1578944000000001E-2</v>
      </c>
      <c r="AJ164" s="59">
        <v>1.1578944000000001E-2</v>
      </c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</row>
    <row r="165" spans="1:49" x14ac:dyDescent="0.25">
      <c r="A165" s="4">
        <v>2038</v>
      </c>
      <c r="B165" s="62">
        <v>2.7151020000000001E-3</v>
      </c>
      <c r="C165" s="62">
        <v>2.5245189999999998E-3</v>
      </c>
      <c r="D165" s="62">
        <v>2.9135559999999999E-3</v>
      </c>
      <c r="E165" s="62">
        <v>2.6492009999999999E-3</v>
      </c>
      <c r="F165" s="62">
        <v>1.4376409999999999E-3</v>
      </c>
      <c r="G165" s="62">
        <v>1.4376409999999999E-3</v>
      </c>
      <c r="H165" s="45"/>
      <c r="I165" s="45"/>
      <c r="J165" s="45"/>
      <c r="K165" s="45"/>
      <c r="L165" s="45"/>
      <c r="M165" s="4">
        <v>2038</v>
      </c>
      <c r="N165" s="62">
        <v>3972.2269999999999</v>
      </c>
      <c r="O165" s="62">
        <v>3972.2269999999999</v>
      </c>
      <c r="P165" s="62">
        <v>3972.2269999999999</v>
      </c>
      <c r="Q165" s="62">
        <v>3972.2265000000002</v>
      </c>
      <c r="R165" s="62">
        <v>3972.2269999999999</v>
      </c>
      <c r="S165" s="62">
        <v>3972.2269999999999</v>
      </c>
      <c r="T165" s="45"/>
      <c r="U165" s="45"/>
      <c r="V165" s="45"/>
      <c r="W165" s="45"/>
      <c r="X165" s="45"/>
      <c r="Y165" s="45"/>
      <c r="Z165" s="45"/>
      <c r="AA165" s="4">
        <v>2038</v>
      </c>
      <c r="AB165" s="59">
        <v>3.972227E-3</v>
      </c>
      <c r="AC165" s="59">
        <v>1.1916680000000001E-2</v>
      </c>
      <c r="AD165" s="59">
        <v>1.1916700000000001E-2</v>
      </c>
      <c r="AE165" s="59">
        <v>1.1916700000000001E-2</v>
      </c>
      <c r="AF165" s="59">
        <v>1.1916680000000001E-2</v>
      </c>
      <c r="AG165" s="59">
        <v>1.1916700000000001E-2</v>
      </c>
      <c r="AH165" s="59">
        <v>1.1916700000000001E-2</v>
      </c>
      <c r="AI165" s="59">
        <v>1.1916680000000001E-2</v>
      </c>
      <c r="AJ165" s="59">
        <v>1.1916680000000001E-2</v>
      </c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</row>
    <row r="166" spans="1:49" x14ac:dyDescent="0.25">
      <c r="A166" s="4">
        <v>2039</v>
      </c>
      <c r="B166" s="62">
        <v>2.7249710000000001E-3</v>
      </c>
      <c r="C166" s="62">
        <v>2.4897109999999999E-3</v>
      </c>
      <c r="D166" s="62">
        <v>2.7472759999999999E-3</v>
      </c>
      <c r="E166" s="62">
        <v>2.5318839999999999E-3</v>
      </c>
      <c r="F166" s="62">
        <v>1.448448E-3</v>
      </c>
      <c r="G166" s="62">
        <v>1.448448E-3</v>
      </c>
      <c r="H166" s="45"/>
      <c r="I166" s="45"/>
      <c r="J166" s="45"/>
      <c r="K166" s="45"/>
      <c r="L166" s="45"/>
      <c r="M166" s="4">
        <v>2039</v>
      </c>
      <c r="N166" s="62">
        <v>4084.8049999999998</v>
      </c>
      <c r="O166" s="62">
        <v>4084.8049999999998</v>
      </c>
      <c r="P166" s="62">
        <v>4084.8049999999998</v>
      </c>
      <c r="Q166" s="62">
        <v>4084.8049000000001</v>
      </c>
      <c r="R166" s="62">
        <v>4084.8049999999998</v>
      </c>
      <c r="S166" s="62">
        <v>4084.8049999999998</v>
      </c>
      <c r="T166" s="45"/>
      <c r="U166" s="45"/>
      <c r="V166" s="45"/>
      <c r="W166" s="45"/>
      <c r="X166" s="45"/>
      <c r="Y166" s="45"/>
      <c r="Z166" s="45"/>
      <c r="AA166" s="4">
        <v>2039</v>
      </c>
      <c r="AB166" s="59">
        <v>4.0848050000000004E-3</v>
      </c>
      <c r="AC166" s="59">
        <v>1.2254414999999999E-2</v>
      </c>
      <c r="AD166" s="59">
        <v>1.22544E-2</v>
      </c>
      <c r="AE166" s="59">
        <v>1.22544E-2</v>
      </c>
      <c r="AF166" s="59">
        <v>1.2254414999999999E-2</v>
      </c>
      <c r="AG166" s="59">
        <v>1.22544E-2</v>
      </c>
      <c r="AH166" s="59">
        <v>1.22544E-2</v>
      </c>
      <c r="AI166" s="59">
        <v>1.2254414999999999E-2</v>
      </c>
      <c r="AJ166" s="59">
        <v>1.2254414999999999E-2</v>
      </c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</row>
    <row r="167" spans="1:49" x14ac:dyDescent="0.25">
      <c r="A167" s="4">
        <v>2040</v>
      </c>
      <c r="B167" s="62">
        <v>2.730311E-3</v>
      </c>
      <c r="C167" s="62">
        <v>2.4482940000000002E-3</v>
      </c>
      <c r="D167" s="62">
        <v>2.566497E-3</v>
      </c>
      <c r="E167" s="62">
        <v>2.4032300000000001E-3</v>
      </c>
      <c r="F167" s="62">
        <v>1.4571619999999999E-3</v>
      </c>
      <c r="G167" s="62">
        <v>1.4571619999999999E-3</v>
      </c>
      <c r="H167" s="45"/>
      <c r="I167" s="45"/>
      <c r="J167" s="45"/>
      <c r="K167" s="45"/>
      <c r="L167" s="45"/>
      <c r="M167" s="4">
        <v>2040</v>
      </c>
      <c r="N167" s="62">
        <v>4196.1040000000003</v>
      </c>
      <c r="O167" s="62">
        <v>4196.1040000000003</v>
      </c>
      <c r="P167" s="62">
        <v>4196.1040000000003</v>
      </c>
      <c r="Q167" s="62">
        <v>4196.1040000000003</v>
      </c>
      <c r="R167" s="62">
        <v>4196.1040000000003</v>
      </c>
      <c r="S167" s="62">
        <v>4196.1040000000003</v>
      </c>
      <c r="T167" s="45"/>
      <c r="U167" s="45"/>
      <c r="V167" s="45"/>
      <c r="W167" s="45"/>
      <c r="X167" s="45"/>
      <c r="Y167" s="45"/>
      <c r="Z167" s="45"/>
      <c r="AA167" s="4">
        <v>2040</v>
      </c>
      <c r="AB167" s="59">
        <v>4.196104E-3</v>
      </c>
      <c r="AC167" s="59">
        <v>1.2588312000000001E-2</v>
      </c>
      <c r="AD167" s="59">
        <v>1.25883E-2</v>
      </c>
      <c r="AE167" s="59">
        <v>1.25883E-2</v>
      </c>
      <c r="AF167" s="59">
        <v>1.2588312000000001E-2</v>
      </c>
      <c r="AG167" s="59">
        <v>1.25883E-2</v>
      </c>
      <c r="AH167" s="59">
        <v>1.25883E-2</v>
      </c>
      <c r="AI167" s="59">
        <v>1.2588312000000001E-2</v>
      </c>
      <c r="AJ167" s="59">
        <v>1.2588312000000001E-2</v>
      </c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</row>
    <row r="168" spans="1:49" x14ac:dyDescent="0.25">
      <c r="A168" s="4">
        <v>2041</v>
      </c>
      <c r="B168" s="62">
        <v>2.7120450000000002E-3</v>
      </c>
      <c r="C168" s="62">
        <v>2.4166790000000001E-3</v>
      </c>
      <c r="D168" s="62">
        <v>2.6069969999999998E-3</v>
      </c>
      <c r="E168" s="62">
        <v>2.4304579999999999E-3</v>
      </c>
      <c r="F168" s="62">
        <v>1.4182590000000001E-3</v>
      </c>
      <c r="G168" s="62">
        <v>1.4182590000000001E-3</v>
      </c>
      <c r="H168" s="45"/>
      <c r="I168" s="45"/>
      <c r="J168" s="45"/>
      <c r="K168" s="45"/>
      <c r="L168" s="45"/>
      <c r="M168" s="4">
        <v>2041</v>
      </c>
      <c r="N168" s="62">
        <v>4317.6379999999999</v>
      </c>
      <c r="O168" s="62">
        <v>4317.6379999999999</v>
      </c>
      <c r="P168" s="62">
        <v>4317.6379999999999</v>
      </c>
      <c r="Q168" s="62">
        <v>4317.6374999999998</v>
      </c>
      <c r="R168" s="62">
        <v>4317.6379999999999</v>
      </c>
      <c r="S168" s="62">
        <v>4317.6379999999999</v>
      </c>
      <c r="T168" s="45"/>
      <c r="U168" s="45"/>
      <c r="V168" s="45"/>
      <c r="W168" s="45"/>
      <c r="X168" s="45"/>
      <c r="Y168" s="45"/>
      <c r="Z168" s="45"/>
      <c r="AA168" s="4">
        <v>2041</v>
      </c>
      <c r="AB168" s="59">
        <v>4.3176380000000004E-3</v>
      </c>
      <c r="AC168" s="59">
        <v>1.2952913E-2</v>
      </c>
      <c r="AD168" s="59">
        <v>1.29529E-2</v>
      </c>
      <c r="AE168" s="59">
        <v>1.29529E-2</v>
      </c>
      <c r="AF168" s="59">
        <v>1.2952913E-2</v>
      </c>
      <c r="AG168" s="59">
        <v>1.29529E-2</v>
      </c>
      <c r="AH168" s="59">
        <v>1.29529E-2</v>
      </c>
      <c r="AI168" s="59">
        <v>1.2952913E-2</v>
      </c>
      <c r="AJ168" s="59">
        <v>1.2952913E-2</v>
      </c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</row>
    <row r="169" spans="1:49" x14ac:dyDescent="0.25">
      <c r="A169" s="4">
        <v>2042</v>
      </c>
      <c r="B169" s="62">
        <v>2.6890740000000001E-3</v>
      </c>
      <c r="C169" s="62">
        <v>2.379978E-3</v>
      </c>
      <c r="D169" s="62">
        <v>2.6463540000000001E-3</v>
      </c>
      <c r="E169" s="62">
        <v>2.456008E-3</v>
      </c>
      <c r="F169" s="62">
        <v>1.375186E-3</v>
      </c>
      <c r="G169" s="62">
        <v>1.375186E-3</v>
      </c>
      <c r="H169" s="45"/>
      <c r="I169" s="45"/>
      <c r="J169" s="45"/>
      <c r="K169" s="45"/>
      <c r="L169" s="45"/>
      <c r="M169" s="4">
        <v>2042</v>
      </c>
      <c r="N169" s="62">
        <v>4440.45</v>
      </c>
      <c r="O169" s="62">
        <v>4440.45</v>
      </c>
      <c r="P169" s="62">
        <v>4440.45</v>
      </c>
      <c r="Q169" s="62">
        <v>4440.4503000000004</v>
      </c>
      <c r="R169" s="62">
        <v>4440.45</v>
      </c>
      <c r="S169" s="62">
        <v>4440.45</v>
      </c>
      <c r="T169" s="45"/>
      <c r="U169" s="45"/>
      <c r="V169" s="45"/>
      <c r="W169" s="45"/>
      <c r="X169" s="45"/>
      <c r="Y169" s="45"/>
      <c r="Z169" s="45"/>
      <c r="AA169" s="4">
        <v>2042</v>
      </c>
      <c r="AB169" s="59">
        <v>4.4404500000000003E-3</v>
      </c>
      <c r="AC169" s="59">
        <v>1.3321351E-2</v>
      </c>
      <c r="AD169" s="59">
        <v>1.3321400000000001E-2</v>
      </c>
      <c r="AE169" s="59">
        <v>1.3321400000000001E-2</v>
      </c>
      <c r="AF169" s="59">
        <v>1.3321351E-2</v>
      </c>
      <c r="AG169" s="59">
        <v>1.3321400000000001E-2</v>
      </c>
      <c r="AH169" s="59">
        <v>1.3321400000000001E-2</v>
      </c>
      <c r="AI169" s="59">
        <v>1.3321351E-2</v>
      </c>
      <c r="AJ169" s="59">
        <v>1.3321351E-2</v>
      </c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</row>
    <row r="170" spans="1:49" x14ac:dyDescent="0.25">
      <c r="A170" s="4">
        <v>2043</v>
      </c>
      <c r="B170" s="62">
        <v>2.6598199999999998E-3</v>
      </c>
      <c r="C170" s="62">
        <v>2.3367890000000001E-3</v>
      </c>
      <c r="D170" s="62">
        <v>2.6830349999999998E-3</v>
      </c>
      <c r="E170" s="62">
        <v>2.4784519999999999E-3</v>
      </c>
      <c r="F170" s="62">
        <v>1.327127E-3</v>
      </c>
      <c r="G170" s="62">
        <v>1.327127E-3</v>
      </c>
      <c r="H170" s="45"/>
      <c r="I170" s="45"/>
      <c r="J170" s="45"/>
      <c r="K170" s="45"/>
      <c r="L170" s="45"/>
      <c r="M170" s="4">
        <v>2043</v>
      </c>
      <c r="N170" s="62">
        <v>4561.9840000000004</v>
      </c>
      <c r="O170" s="62">
        <v>4561.9840000000004</v>
      </c>
      <c r="P170" s="62">
        <v>4561.9840000000004</v>
      </c>
      <c r="Q170" s="62">
        <v>4561.9838</v>
      </c>
      <c r="R170" s="62">
        <v>4561.9840000000004</v>
      </c>
      <c r="S170" s="62">
        <v>4561.9840000000004</v>
      </c>
      <c r="T170" s="45"/>
      <c r="U170" s="45"/>
      <c r="V170" s="45"/>
      <c r="W170" s="45"/>
      <c r="X170" s="45"/>
      <c r="Y170" s="45"/>
      <c r="Z170" s="45"/>
      <c r="AA170" s="4">
        <v>2043</v>
      </c>
      <c r="AB170" s="59">
        <v>4.5619839999999998E-3</v>
      </c>
      <c r="AC170" s="59">
        <v>1.3685951E-2</v>
      </c>
      <c r="AD170" s="59">
        <v>1.3686E-2</v>
      </c>
      <c r="AE170" s="59">
        <v>1.3686E-2</v>
      </c>
      <c r="AF170" s="59">
        <v>1.3685951E-2</v>
      </c>
      <c r="AG170" s="59">
        <v>1.3686E-2</v>
      </c>
      <c r="AH170" s="59">
        <v>1.3686E-2</v>
      </c>
      <c r="AI170" s="59">
        <v>1.3685951E-2</v>
      </c>
      <c r="AJ170" s="59">
        <v>1.3685951E-2</v>
      </c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</row>
    <row r="171" spans="1:49" x14ac:dyDescent="0.25">
      <c r="A171" s="4">
        <v>2044</v>
      </c>
      <c r="B171" s="62">
        <v>2.6250850000000001E-3</v>
      </c>
      <c r="C171" s="62">
        <v>2.2878289999999999E-3</v>
      </c>
      <c r="D171" s="62">
        <v>2.7178110000000001E-3</v>
      </c>
      <c r="E171" s="62">
        <v>2.4985099999999998E-3</v>
      </c>
      <c r="F171" s="62">
        <v>1.274503E-3</v>
      </c>
      <c r="G171" s="62">
        <v>1.274503E-3</v>
      </c>
      <c r="H171" s="45"/>
      <c r="I171" s="45"/>
      <c r="J171" s="45"/>
      <c r="K171" s="45"/>
      <c r="L171" s="45"/>
      <c r="M171" s="4">
        <v>2044</v>
      </c>
      <c r="N171" s="62">
        <v>4683.5169999999998</v>
      </c>
      <c r="O171" s="62">
        <v>4683.5169999999998</v>
      </c>
      <c r="P171" s="62">
        <v>4683.5169999999998</v>
      </c>
      <c r="Q171" s="62">
        <v>4683.5173000000004</v>
      </c>
      <c r="R171" s="62">
        <v>4683.5169999999998</v>
      </c>
      <c r="S171" s="62">
        <v>4683.5169999999998</v>
      </c>
      <c r="T171" s="45"/>
      <c r="U171" s="45"/>
      <c r="V171" s="45"/>
      <c r="W171" s="45"/>
      <c r="X171" s="45"/>
      <c r="Y171" s="45"/>
      <c r="Z171" s="45"/>
      <c r="AA171" s="4">
        <v>2044</v>
      </c>
      <c r="AB171" s="59">
        <v>4.6835169999999999E-3</v>
      </c>
      <c r="AC171" s="59">
        <v>1.4050551999999999E-2</v>
      </c>
      <c r="AD171" s="59">
        <v>1.40506E-2</v>
      </c>
      <c r="AE171" s="59">
        <v>1.40506E-2</v>
      </c>
      <c r="AF171" s="59">
        <v>1.4050551999999999E-2</v>
      </c>
      <c r="AG171" s="59">
        <v>1.40506E-2</v>
      </c>
      <c r="AH171" s="59">
        <v>1.40506E-2</v>
      </c>
      <c r="AI171" s="59">
        <v>1.4050551999999999E-2</v>
      </c>
      <c r="AJ171" s="59">
        <v>1.4050551999999999E-2</v>
      </c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</row>
    <row r="172" spans="1:49" x14ac:dyDescent="0.25">
      <c r="A172" s="4">
        <v>2045</v>
      </c>
      <c r="B172" s="62">
        <v>2.58487E-3</v>
      </c>
      <c r="C172" s="62">
        <v>2.233096E-3</v>
      </c>
      <c r="D172" s="62">
        <v>2.750682E-3</v>
      </c>
      <c r="E172" s="62">
        <v>2.516183E-3</v>
      </c>
      <c r="F172" s="62">
        <v>1.2173119999999999E-3</v>
      </c>
      <c r="G172" s="62">
        <v>1.2173119999999999E-3</v>
      </c>
      <c r="H172" s="45"/>
      <c r="I172" s="45"/>
      <c r="J172" s="45"/>
      <c r="K172" s="45"/>
      <c r="L172" s="45"/>
      <c r="M172" s="4">
        <v>2045</v>
      </c>
      <c r="N172" s="62">
        <v>4805.0510000000004</v>
      </c>
      <c r="O172" s="62">
        <v>4805.0510000000004</v>
      </c>
      <c r="P172" s="62">
        <v>4805.0510000000004</v>
      </c>
      <c r="Q172" s="62">
        <v>4805.0508</v>
      </c>
      <c r="R172" s="62">
        <v>4805.0510000000004</v>
      </c>
      <c r="S172" s="62">
        <v>4805.0510000000004</v>
      </c>
      <c r="T172" s="45"/>
      <c r="U172" s="45"/>
      <c r="V172" s="45"/>
      <c r="W172" s="45"/>
      <c r="X172" s="45"/>
      <c r="Y172" s="45"/>
      <c r="Z172" s="45"/>
      <c r="AA172" s="4">
        <v>2045</v>
      </c>
      <c r="AB172" s="59">
        <v>4.8050510000000003E-3</v>
      </c>
      <c r="AC172" s="59">
        <v>1.4415152000000001E-2</v>
      </c>
      <c r="AD172" s="59">
        <v>1.44152E-2</v>
      </c>
      <c r="AE172" s="59">
        <v>1.44152E-2</v>
      </c>
      <c r="AF172" s="59">
        <v>1.4415152000000001E-2</v>
      </c>
      <c r="AG172" s="59">
        <v>1.44152E-2</v>
      </c>
      <c r="AH172" s="59">
        <v>1.44152E-2</v>
      </c>
      <c r="AI172" s="59">
        <v>1.4415152000000001E-2</v>
      </c>
      <c r="AJ172" s="59">
        <v>1.4415152000000001E-2</v>
      </c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</row>
    <row r="173" spans="1:49" x14ac:dyDescent="0.25">
      <c r="A173" s="4">
        <v>2046</v>
      </c>
      <c r="B173" s="62">
        <v>2.5716929999999999E-3</v>
      </c>
      <c r="C173" s="62">
        <v>2.2411079999999999E-3</v>
      </c>
      <c r="D173" s="62">
        <v>2.8105169999999998E-3</v>
      </c>
      <c r="E173" s="62">
        <v>2.5586879999999999E-3</v>
      </c>
      <c r="F173" s="62">
        <v>1.237791E-3</v>
      </c>
      <c r="G173" s="62">
        <v>1.237791E-3</v>
      </c>
      <c r="H173" s="45"/>
      <c r="I173" s="45"/>
      <c r="J173" s="45"/>
      <c r="K173" s="45"/>
      <c r="L173" s="45"/>
      <c r="M173" s="4">
        <v>2046</v>
      </c>
      <c r="N173" s="62">
        <v>4926.5839999999998</v>
      </c>
      <c r="O173" s="62">
        <v>4926.5839999999998</v>
      </c>
      <c r="P173" s="62">
        <v>4926.5839999999998</v>
      </c>
      <c r="Q173" s="62">
        <v>4926.5843000000004</v>
      </c>
      <c r="R173" s="62">
        <v>4926.5839999999998</v>
      </c>
      <c r="S173" s="62">
        <v>4926.5839999999998</v>
      </c>
      <c r="T173" s="45"/>
      <c r="U173" s="45" t="s">
        <v>93</v>
      </c>
      <c r="V173" s="45" t="s">
        <v>269</v>
      </c>
      <c r="W173" s="45"/>
      <c r="X173" s="45"/>
      <c r="Y173" s="45"/>
      <c r="Z173" s="45"/>
      <c r="AA173" s="4">
        <v>2046</v>
      </c>
      <c r="AB173" s="59">
        <v>4.9265840000000003E-3</v>
      </c>
      <c r="AC173" s="59">
        <v>1.4779753E-2</v>
      </c>
      <c r="AD173" s="59">
        <v>1.4779799999999999E-2</v>
      </c>
      <c r="AE173" s="59">
        <v>1.4779799999999999E-2</v>
      </c>
      <c r="AF173" s="59">
        <v>1.4779753E-2</v>
      </c>
      <c r="AG173" s="59">
        <v>1.4779799999999999E-2</v>
      </c>
      <c r="AH173" s="59">
        <v>1.4779799999999999E-2</v>
      </c>
      <c r="AI173" s="59">
        <v>1.4779753E-2</v>
      </c>
      <c r="AJ173" s="59">
        <v>1.4779753E-2</v>
      </c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</row>
    <row r="174" spans="1:49" x14ac:dyDescent="0.25">
      <c r="A174" s="4">
        <v>2047</v>
      </c>
      <c r="B174" s="62">
        <v>2.5546409999999999E-3</v>
      </c>
      <c r="C174" s="62">
        <v>2.2467279999999999E-3</v>
      </c>
      <c r="D174" s="62">
        <v>2.8698730000000002E-3</v>
      </c>
      <c r="E174" s="62">
        <v>2.6001499999999999E-3</v>
      </c>
      <c r="F174" s="62">
        <v>1.2577619999999999E-3</v>
      </c>
      <c r="G174" s="62">
        <v>1.2577619999999999E-3</v>
      </c>
      <c r="H174" s="45"/>
      <c r="I174" s="45"/>
      <c r="J174" s="45"/>
      <c r="K174" s="45"/>
      <c r="L174" s="45"/>
      <c r="M174" s="4">
        <v>2047</v>
      </c>
      <c r="N174" s="62">
        <v>5048.1180000000004</v>
      </c>
      <c r="O174" s="62">
        <v>5048.1180000000004</v>
      </c>
      <c r="P174" s="62">
        <v>5048.1180000000004</v>
      </c>
      <c r="Q174" s="62">
        <v>5048.1178</v>
      </c>
      <c r="R174" s="62">
        <v>5048.1180000000004</v>
      </c>
      <c r="S174" s="62">
        <v>5048.1180000000004</v>
      </c>
      <c r="T174" s="45"/>
      <c r="U174" s="45"/>
      <c r="V174" s="45"/>
      <c r="W174" s="45"/>
      <c r="X174" s="45"/>
      <c r="Y174" s="45"/>
      <c r="Z174" s="45"/>
      <c r="AA174" s="4">
        <v>2047</v>
      </c>
      <c r="AB174" s="59">
        <v>5.0481179999999999E-3</v>
      </c>
      <c r="AC174" s="59">
        <v>1.5144352999999999E-2</v>
      </c>
      <c r="AD174" s="59">
        <v>1.5144400000000001E-2</v>
      </c>
      <c r="AE174" s="59">
        <v>1.5144400000000001E-2</v>
      </c>
      <c r="AF174" s="59">
        <v>1.5144352999999999E-2</v>
      </c>
      <c r="AG174" s="59">
        <v>1.5144400000000001E-2</v>
      </c>
      <c r="AH174" s="59">
        <v>1.5144400000000001E-2</v>
      </c>
      <c r="AI174" s="59">
        <v>1.5144352999999999E-2</v>
      </c>
      <c r="AJ174" s="59">
        <v>1.5144352999999999E-2</v>
      </c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</row>
    <row r="175" spans="1:49" x14ac:dyDescent="0.25">
      <c r="A175" s="4">
        <v>2048</v>
      </c>
      <c r="B175" s="62">
        <v>2.5337129999999999E-3</v>
      </c>
      <c r="C175" s="62">
        <v>2.2499579999999998E-3</v>
      </c>
      <c r="D175" s="62">
        <v>2.9287480000000001E-3</v>
      </c>
      <c r="E175" s="62">
        <v>2.6405700000000001E-3</v>
      </c>
      <c r="F175" s="62">
        <v>1.2772250000000001E-3</v>
      </c>
      <c r="G175" s="62">
        <v>1.2772250000000001E-3</v>
      </c>
      <c r="H175" s="45"/>
      <c r="I175" s="45"/>
      <c r="J175" s="45"/>
      <c r="K175" s="45"/>
      <c r="L175" s="45"/>
      <c r="M175" s="4">
        <v>2048</v>
      </c>
      <c r="N175" s="62">
        <v>5169.6509999999998</v>
      </c>
      <c r="O175" s="62">
        <v>5169.6509999999998</v>
      </c>
      <c r="P175" s="62">
        <v>5169.6509999999998</v>
      </c>
      <c r="Q175" s="62">
        <v>5169.6513000000004</v>
      </c>
      <c r="R175" s="62">
        <v>5169.6509999999998</v>
      </c>
      <c r="S175" s="62">
        <v>5169.6509999999998</v>
      </c>
      <c r="T175" s="45"/>
      <c r="U175" s="45"/>
      <c r="V175" s="45"/>
      <c r="W175" s="45"/>
      <c r="X175" s="45"/>
      <c r="Y175" s="45"/>
      <c r="Z175" s="45"/>
      <c r="AA175" s="4">
        <v>2048</v>
      </c>
      <c r="AB175" s="59">
        <v>5.1696509999999999E-3</v>
      </c>
      <c r="AC175" s="59">
        <v>1.5508954E-2</v>
      </c>
      <c r="AD175" s="59">
        <v>1.5509E-2</v>
      </c>
      <c r="AE175" s="59">
        <v>1.5509E-2</v>
      </c>
      <c r="AF175" s="59">
        <v>1.5508954E-2</v>
      </c>
      <c r="AG175" s="59">
        <v>1.5509E-2</v>
      </c>
      <c r="AH175" s="59">
        <v>1.5509E-2</v>
      </c>
      <c r="AI175" s="59">
        <v>1.5508954E-2</v>
      </c>
      <c r="AJ175" s="59">
        <v>1.5508954E-2</v>
      </c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</row>
    <row r="176" spans="1:49" x14ac:dyDescent="0.25">
      <c r="A176" s="4">
        <v>2049</v>
      </c>
      <c r="B176" s="62">
        <v>2.5089090000000001E-3</v>
      </c>
      <c r="C176" s="62">
        <v>2.2507949999999999E-3</v>
      </c>
      <c r="D176" s="62">
        <v>2.9871419999999999E-3</v>
      </c>
      <c r="E176" s="62">
        <v>2.6799459999999999E-3</v>
      </c>
      <c r="F176" s="62">
        <v>1.296178E-3</v>
      </c>
      <c r="G176" s="62">
        <v>1.296178E-3</v>
      </c>
      <c r="H176" s="45"/>
      <c r="I176" s="45"/>
      <c r="J176" s="45"/>
      <c r="K176" s="45"/>
      <c r="L176" s="45"/>
      <c r="M176" s="4">
        <v>2049</v>
      </c>
      <c r="N176" s="62">
        <v>5291.1850000000004</v>
      </c>
      <c r="O176" s="62">
        <v>5291.1850000000004</v>
      </c>
      <c r="P176" s="62">
        <v>5291.1850000000004</v>
      </c>
      <c r="Q176" s="62">
        <v>5291.1848</v>
      </c>
      <c r="R176" s="62">
        <v>5291.1850000000004</v>
      </c>
      <c r="S176" s="62">
        <v>5291.1850000000004</v>
      </c>
      <c r="T176" s="45"/>
      <c r="U176" s="45"/>
      <c r="V176" s="45"/>
      <c r="W176" s="45"/>
      <c r="X176" s="45"/>
      <c r="Y176" s="45"/>
      <c r="Z176" s="45"/>
      <c r="AA176" s="4">
        <v>2049</v>
      </c>
      <c r="AB176" s="59">
        <v>5.2911850000000003E-3</v>
      </c>
      <c r="AC176" s="59">
        <v>1.5873554000000002E-2</v>
      </c>
      <c r="AD176" s="59">
        <v>1.5873600000000002E-2</v>
      </c>
      <c r="AE176" s="59">
        <v>1.5873600000000002E-2</v>
      </c>
      <c r="AF176" s="59">
        <v>1.5873554000000002E-2</v>
      </c>
      <c r="AG176" s="59">
        <v>1.5873600000000002E-2</v>
      </c>
      <c r="AH176" s="59">
        <v>1.5873600000000002E-2</v>
      </c>
      <c r="AI176" s="59">
        <v>1.5873554000000002E-2</v>
      </c>
      <c r="AJ176" s="59">
        <v>1.5873554000000002E-2</v>
      </c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</row>
    <row r="177" spans="1:49" x14ac:dyDescent="0.25">
      <c r="A177" s="4">
        <v>2050</v>
      </c>
      <c r="B177" s="62">
        <v>2.480229E-3</v>
      </c>
      <c r="C177" s="62">
        <v>2.2492419999999998E-3</v>
      </c>
      <c r="D177" s="62">
        <v>3.045056E-3</v>
      </c>
      <c r="E177" s="62">
        <v>2.71828E-3</v>
      </c>
      <c r="F177" s="62">
        <v>1.314623E-3</v>
      </c>
      <c r="G177" s="62">
        <v>1.314623E-3</v>
      </c>
      <c r="H177" s="45"/>
      <c r="I177" s="45"/>
      <c r="J177" s="45"/>
      <c r="K177" s="45"/>
      <c r="L177" s="45"/>
      <c r="M177" s="4">
        <v>2050</v>
      </c>
      <c r="N177" s="62">
        <v>5412.7179999999998</v>
      </c>
      <c r="O177" s="62">
        <v>5412.7179999999998</v>
      </c>
      <c r="P177" s="62">
        <v>5412.7179999999998</v>
      </c>
      <c r="Q177" s="62">
        <v>5412.7183000000005</v>
      </c>
      <c r="R177" s="62">
        <v>5412.7179999999998</v>
      </c>
      <c r="S177" s="62">
        <v>5412.7179999999998</v>
      </c>
      <c r="T177" s="45"/>
      <c r="U177" s="45"/>
      <c r="V177" s="45"/>
      <c r="W177" s="45"/>
      <c r="X177" s="45"/>
      <c r="Y177" s="45"/>
      <c r="Z177" s="45"/>
      <c r="AA177" s="4">
        <v>2050</v>
      </c>
      <c r="AB177" s="59">
        <v>5.4127180000000004E-3</v>
      </c>
      <c r="AC177" s="59">
        <v>1.6238155000000001E-2</v>
      </c>
      <c r="AD177" s="59">
        <v>1.6238200000000001E-2</v>
      </c>
      <c r="AE177" s="59">
        <v>1.6238200000000001E-2</v>
      </c>
      <c r="AF177" s="59">
        <v>1.6238155000000001E-2</v>
      </c>
      <c r="AG177" s="59">
        <v>1.6238200000000001E-2</v>
      </c>
      <c r="AH177" s="59">
        <v>1.6238200000000001E-2</v>
      </c>
      <c r="AI177" s="59">
        <v>1.6238155000000001E-2</v>
      </c>
      <c r="AJ177" s="59">
        <v>1.6238155000000001E-2</v>
      </c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</row>
    <row r="178" spans="1:49" x14ac:dyDescent="0.25">
      <c r="A178" s="4">
        <v>2051</v>
      </c>
      <c r="B178" s="66">
        <v>2.480229E-3</v>
      </c>
      <c r="C178" s="67">
        <v>2.2492419999999998E-3</v>
      </c>
      <c r="D178" s="67">
        <v>3.045056E-3</v>
      </c>
      <c r="E178" s="67">
        <v>2.71828E-3</v>
      </c>
      <c r="F178" s="67">
        <v>1.314623E-3</v>
      </c>
      <c r="G178" s="68">
        <v>1.314623E-3</v>
      </c>
      <c r="H178" s="45"/>
      <c r="I178" s="45"/>
      <c r="J178" s="45"/>
      <c r="K178" s="45"/>
      <c r="L178" s="45"/>
      <c r="M178" s="4"/>
      <c r="N178" s="38" t="s">
        <v>173</v>
      </c>
      <c r="O178" s="38" t="s">
        <v>173</v>
      </c>
      <c r="P178" s="38" t="s">
        <v>173</v>
      </c>
      <c r="Q178" s="38" t="s">
        <v>173</v>
      </c>
      <c r="R178" s="38" t="s">
        <v>173</v>
      </c>
      <c r="S178" s="38" t="s">
        <v>173</v>
      </c>
      <c r="T178" s="45"/>
      <c r="U178" s="45"/>
      <c r="V178" s="45"/>
      <c r="W178" s="45"/>
      <c r="X178" s="45"/>
      <c r="Y178" s="45"/>
      <c r="Z178" s="45"/>
      <c r="AA178" s="45"/>
      <c r="AB178" s="69">
        <v>5.4127180000000004E-3</v>
      </c>
      <c r="AC178" s="69">
        <v>1.6238155000000001E-2</v>
      </c>
      <c r="AD178" s="69">
        <v>1.6238200000000001E-2</v>
      </c>
      <c r="AE178" s="69">
        <v>1.6238200000000001E-2</v>
      </c>
      <c r="AF178" s="69">
        <v>1.6238155000000001E-2</v>
      </c>
      <c r="AG178" s="69">
        <v>1.6238200000000001E-2</v>
      </c>
      <c r="AH178" s="69">
        <v>1.6238200000000001E-2</v>
      </c>
      <c r="AI178" s="69">
        <v>1.6238155000000001E-2</v>
      </c>
      <c r="AJ178" s="69">
        <v>1.6238155000000001E-2</v>
      </c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</row>
    <row r="179" spans="1:49" x14ac:dyDescent="0.25">
      <c r="A179" s="4">
        <v>2052</v>
      </c>
      <c r="B179" s="66">
        <v>2.480229E-3</v>
      </c>
      <c r="C179" s="67">
        <v>2.2492419999999998E-3</v>
      </c>
      <c r="D179" s="67">
        <v>3.045056E-3</v>
      </c>
      <c r="E179" s="67">
        <v>2.71828E-3</v>
      </c>
      <c r="F179" s="67">
        <v>1.314623E-3</v>
      </c>
      <c r="G179" s="68">
        <v>1.314623E-3</v>
      </c>
      <c r="H179" s="45"/>
      <c r="I179" s="45"/>
      <c r="J179" s="45"/>
      <c r="K179" s="45"/>
      <c r="L179" s="45"/>
      <c r="M179" s="4"/>
      <c r="N179" s="38" t="s">
        <v>173</v>
      </c>
      <c r="O179" s="38" t="s">
        <v>173</v>
      </c>
      <c r="P179" s="38" t="s">
        <v>173</v>
      </c>
      <c r="Q179" s="38" t="s">
        <v>173</v>
      </c>
      <c r="R179" s="38" t="s">
        <v>173</v>
      </c>
      <c r="S179" s="38" t="s">
        <v>173</v>
      </c>
      <c r="T179" s="45"/>
      <c r="U179" s="45"/>
      <c r="V179" s="45"/>
      <c r="W179" s="45"/>
      <c r="X179" s="45"/>
      <c r="Y179" s="45"/>
      <c r="Z179" s="45"/>
      <c r="AA179" s="45"/>
      <c r="AB179" s="69">
        <v>5.4127180000000004E-3</v>
      </c>
      <c r="AC179" s="69">
        <v>1.6238155000000001E-2</v>
      </c>
      <c r="AD179" s="69">
        <v>1.6238200000000001E-2</v>
      </c>
      <c r="AE179" s="69">
        <v>1.6238200000000001E-2</v>
      </c>
      <c r="AF179" s="69">
        <v>1.6238155000000001E-2</v>
      </c>
      <c r="AG179" s="69">
        <v>1.6238200000000001E-2</v>
      </c>
      <c r="AH179" s="69">
        <v>1.6238200000000001E-2</v>
      </c>
      <c r="AI179" s="69">
        <v>1.6238155000000001E-2</v>
      </c>
      <c r="AJ179" s="69">
        <v>1.6238155000000001E-2</v>
      </c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</row>
    <row r="180" spans="1:49" x14ac:dyDescent="0.25">
      <c r="A180" s="4">
        <v>2053</v>
      </c>
      <c r="B180" s="66">
        <v>2.480229E-3</v>
      </c>
      <c r="C180" s="67">
        <v>2.2492419999999998E-3</v>
      </c>
      <c r="D180" s="67">
        <v>3.045056E-3</v>
      </c>
      <c r="E180" s="67">
        <v>2.71828E-3</v>
      </c>
      <c r="F180" s="67">
        <v>1.314623E-3</v>
      </c>
      <c r="G180" s="68">
        <v>1.314623E-3</v>
      </c>
      <c r="H180" s="45"/>
      <c r="I180" s="45"/>
      <c r="J180" s="45"/>
      <c r="K180" s="45"/>
      <c r="L180" s="45"/>
      <c r="M180" s="4"/>
      <c r="N180" s="38" t="s">
        <v>173</v>
      </c>
      <c r="O180" s="38" t="s">
        <v>173</v>
      </c>
      <c r="P180" s="38" t="s">
        <v>173</v>
      </c>
      <c r="Q180" s="38" t="s">
        <v>173</v>
      </c>
      <c r="R180" s="38" t="s">
        <v>173</v>
      </c>
      <c r="S180" s="38" t="s">
        <v>173</v>
      </c>
      <c r="T180" s="45"/>
      <c r="U180" s="45"/>
      <c r="V180" s="45"/>
      <c r="W180" s="45"/>
      <c r="X180" s="45"/>
      <c r="Y180" s="45"/>
      <c r="Z180" s="45"/>
      <c r="AA180" s="45"/>
      <c r="AB180" s="69">
        <v>5.4127180000000004E-3</v>
      </c>
      <c r="AC180" s="69">
        <v>1.6238155000000001E-2</v>
      </c>
      <c r="AD180" s="69">
        <v>1.6238200000000001E-2</v>
      </c>
      <c r="AE180" s="69">
        <v>1.6238200000000001E-2</v>
      </c>
      <c r="AF180" s="69">
        <v>1.6238155000000001E-2</v>
      </c>
      <c r="AG180" s="69">
        <v>1.6238200000000001E-2</v>
      </c>
      <c r="AH180" s="69">
        <v>1.6238200000000001E-2</v>
      </c>
      <c r="AI180" s="69">
        <v>1.6238155000000001E-2</v>
      </c>
      <c r="AJ180" s="69">
        <v>1.6238155000000001E-2</v>
      </c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</row>
    <row r="181" spans="1:49" x14ac:dyDescent="0.25">
      <c r="A181" s="4">
        <v>2054</v>
      </c>
      <c r="B181" s="66">
        <v>2.480229E-3</v>
      </c>
      <c r="C181" s="67">
        <v>2.2492419999999998E-3</v>
      </c>
      <c r="D181" s="67">
        <v>3.045056E-3</v>
      </c>
      <c r="E181" s="67">
        <v>2.71828E-3</v>
      </c>
      <c r="F181" s="67">
        <v>1.314623E-3</v>
      </c>
      <c r="G181" s="68">
        <v>1.314623E-3</v>
      </c>
      <c r="H181" s="45"/>
      <c r="I181" s="45"/>
      <c r="J181" s="45"/>
      <c r="K181" s="45"/>
      <c r="L181" s="45"/>
      <c r="M181" s="4"/>
      <c r="N181" s="38" t="s">
        <v>173</v>
      </c>
      <c r="O181" s="38" t="s">
        <v>173</v>
      </c>
      <c r="P181" s="38" t="s">
        <v>173</v>
      </c>
      <c r="Q181" s="38" t="s">
        <v>173</v>
      </c>
      <c r="R181" s="38" t="s">
        <v>173</v>
      </c>
      <c r="S181" s="38" t="s">
        <v>173</v>
      </c>
      <c r="T181" s="45"/>
      <c r="U181" s="45"/>
      <c r="V181" s="45"/>
      <c r="W181" s="45"/>
      <c r="X181" s="45"/>
      <c r="Y181" s="45"/>
      <c r="Z181" s="45"/>
      <c r="AA181" s="45"/>
      <c r="AB181" s="69">
        <v>5.4127180000000004E-3</v>
      </c>
      <c r="AC181" s="69">
        <v>1.6238155000000001E-2</v>
      </c>
      <c r="AD181" s="69">
        <v>1.6238200000000001E-2</v>
      </c>
      <c r="AE181" s="69">
        <v>1.6238200000000001E-2</v>
      </c>
      <c r="AF181" s="69">
        <v>1.6238155000000001E-2</v>
      </c>
      <c r="AG181" s="69">
        <v>1.6238200000000001E-2</v>
      </c>
      <c r="AH181" s="69">
        <v>1.6238200000000001E-2</v>
      </c>
      <c r="AI181" s="69">
        <v>1.6238155000000001E-2</v>
      </c>
      <c r="AJ181" s="69">
        <v>1.6238155000000001E-2</v>
      </c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</row>
    <row r="182" spans="1:49" x14ac:dyDescent="0.25">
      <c r="A182" s="4">
        <v>2055</v>
      </c>
      <c r="B182" s="66">
        <v>2.480229E-3</v>
      </c>
      <c r="C182" s="67">
        <v>2.2492419999999998E-3</v>
      </c>
      <c r="D182" s="67">
        <v>3.045056E-3</v>
      </c>
      <c r="E182" s="67">
        <v>2.71828E-3</v>
      </c>
      <c r="F182" s="67">
        <v>1.314623E-3</v>
      </c>
      <c r="G182" s="68">
        <v>1.314623E-3</v>
      </c>
      <c r="H182" s="45"/>
      <c r="I182" s="45"/>
      <c r="J182" s="45"/>
      <c r="K182" s="45"/>
      <c r="L182" s="45"/>
      <c r="M182" s="4"/>
      <c r="N182" s="38" t="s">
        <v>173</v>
      </c>
      <c r="O182" s="38" t="s">
        <v>173</v>
      </c>
      <c r="P182" s="38" t="s">
        <v>173</v>
      </c>
      <c r="Q182" s="38" t="s">
        <v>173</v>
      </c>
      <c r="R182" s="38" t="s">
        <v>173</v>
      </c>
      <c r="S182" s="38" t="s">
        <v>173</v>
      </c>
      <c r="T182" s="45"/>
      <c r="U182" s="45"/>
      <c r="V182" s="45"/>
      <c r="W182" s="45"/>
      <c r="X182" s="45"/>
      <c r="Y182" s="45"/>
      <c r="Z182" s="45"/>
      <c r="AA182" s="45"/>
      <c r="AB182" s="69">
        <v>5.4127180000000004E-3</v>
      </c>
      <c r="AC182" s="69">
        <v>1.6238155000000001E-2</v>
      </c>
      <c r="AD182" s="69">
        <v>1.6238200000000001E-2</v>
      </c>
      <c r="AE182" s="69">
        <v>1.6238200000000001E-2</v>
      </c>
      <c r="AF182" s="69">
        <v>1.6238155000000001E-2</v>
      </c>
      <c r="AG182" s="69">
        <v>1.6238200000000001E-2</v>
      </c>
      <c r="AH182" s="69">
        <v>1.6238200000000001E-2</v>
      </c>
      <c r="AI182" s="69">
        <v>1.6238155000000001E-2</v>
      </c>
      <c r="AJ182" s="69">
        <v>1.6238155000000001E-2</v>
      </c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</row>
    <row r="183" spans="1:49" x14ac:dyDescent="0.25">
      <c r="A183" s="4">
        <v>2056</v>
      </c>
      <c r="B183" s="66">
        <v>2.480229E-3</v>
      </c>
      <c r="C183" s="67">
        <v>2.2492419999999998E-3</v>
      </c>
      <c r="D183" s="67">
        <v>3.045056E-3</v>
      </c>
      <c r="E183" s="67">
        <v>2.71828E-3</v>
      </c>
      <c r="F183" s="67">
        <v>1.314623E-3</v>
      </c>
      <c r="G183" s="68">
        <v>1.314623E-3</v>
      </c>
      <c r="H183" s="45"/>
      <c r="I183" s="45"/>
      <c r="J183" s="45"/>
      <c r="K183" s="45"/>
      <c r="L183" s="45"/>
      <c r="M183" s="4"/>
      <c r="N183" s="38" t="s">
        <v>173</v>
      </c>
      <c r="O183" s="38" t="s">
        <v>173</v>
      </c>
      <c r="P183" s="38" t="s">
        <v>173</v>
      </c>
      <c r="Q183" s="38" t="s">
        <v>173</v>
      </c>
      <c r="R183" s="38" t="s">
        <v>173</v>
      </c>
      <c r="S183" s="38" t="s">
        <v>173</v>
      </c>
      <c r="T183" s="45"/>
      <c r="U183" s="45"/>
      <c r="V183" s="45"/>
      <c r="W183" s="45"/>
      <c r="X183" s="45"/>
      <c r="Y183" s="45"/>
      <c r="Z183" s="45"/>
      <c r="AA183" s="45"/>
      <c r="AB183" s="69">
        <v>5.4127180000000004E-3</v>
      </c>
      <c r="AC183" s="69">
        <v>1.6238155000000001E-2</v>
      </c>
      <c r="AD183" s="69">
        <v>1.6238200000000001E-2</v>
      </c>
      <c r="AE183" s="69">
        <v>1.6238200000000001E-2</v>
      </c>
      <c r="AF183" s="69">
        <v>1.6238155000000001E-2</v>
      </c>
      <c r="AG183" s="69">
        <v>1.6238200000000001E-2</v>
      </c>
      <c r="AH183" s="69">
        <v>1.6238200000000001E-2</v>
      </c>
      <c r="AI183" s="69">
        <v>1.6238155000000001E-2</v>
      </c>
      <c r="AJ183" s="69">
        <v>1.6238155000000001E-2</v>
      </c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</row>
    <row r="184" spans="1:49" x14ac:dyDescent="0.25">
      <c r="A184" s="4">
        <v>2057</v>
      </c>
      <c r="B184" s="66">
        <v>2.480229E-3</v>
      </c>
      <c r="C184" s="67">
        <v>2.2492419999999998E-3</v>
      </c>
      <c r="D184" s="67">
        <v>3.045056E-3</v>
      </c>
      <c r="E184" s="67">
        <v>2.71828E-3</v>
      </c>
      <c r="F184" s="67">
        <v>1.314623E-3</v>
      </c>
      <c r="G184" s="68">
        <v>1.314623E-3</v>
      </c>
      <c r="H184" s="45"/>
      <c r="I184" s="45"/>
      <c r="J184" s="45"/>
      <c r="K184" s="45"/>
      <c r="L184" s="45"/>
      <c r="M184" s="4"/>
      <c r="N184" s="38" t="s">
        <v>173</v>
      </c>
      <c r="O184" s="38" t="s">
        <v>173</v>
      </c>
      <c r="P184" s="38" t="s">
        <v>173</v>
      </c>
      <c r="Q184" s="38" t="s">
        <v>173</v>
      </c>
      <c r="R184" s="38" t="s">
        <v>173</v>
      </c>
      <c r="S184" s="38" t="s">
        <v>173</v>
      </c>
      <c r="T184" s="45"/>
      <c r="U184" s="45"/>
      <c r="V184" s="45"/>
      <c r="W184" s="45"/>
      <c r="X184" s="45"/>
      <c r="Y184" s="45"/>
      <c r="Z184" s="45"/>
      <c r="AA184" s="45"/>
      <c r="AB184" s="69">
        <v>5.4127180000000004E-3</v>
      </c>
      <c r="AC184" s="69">
        <v>1.6238155000000001E-2</v>
      </c>
      <c r="AD184" s="69">
        <v>1.6238200000000001E-2</v>
      </c>
      <c r="AE184" s="69">
        <v>1.6238200000000001E-2</v>
      </c>
      <c r="AF184" s="69">
        <v>1.6238155000000001E-2</v>
      </c>
      <c r="AG184" s="69">
        <v>1.6238200000000001E-2</v>
      </c>
      <c r="AH184" s="69">
        <v>1.6238200000000001E-2</v>
      </c>
      <c r="AI184" s="69">
        <v>1.6238155000000001E-2</v>
      </c>
      <c r="AJ184" s="69">
        <v>1.6238155000000001E-2</v>
      </c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</row>
    <row r="185" spans="1:49" x14ac:dyDescent="0.25">
      <c r="A185" s="4">
        <v>2058</v>
      </c>
      <c r="B185" s="66">
        <v>2.480229E-3</v>
      </c>
      <c r="C185" s="67">
        <v>2.2492419999999998E-3</v>
      </c>
      <c r="D185" s="67">
        <v>3.045056E-3</v>
      </c>
      <c r="E185" s="67">
        <v>2.71828E-3</v>
      </c>
      <c r="F185" s="67">
        <v>1.314623E-3</v>
      </c>
      <c r="G185" s="68">
        <v>1.314623E-3</v>
      </c>
      <c r="H185" s="45"/>
      <c r="I185" s="45"/>
      <c r="J185" s="45"/>
      <c r="K185" s="45"/>
      <c r="L185" s="45"/>
      <c r="M185" s="4"/>
      <c r="N185" s="38" t="s">
        <v>173</v>
      </c>
      <c r="O185" s="38" t="s">
        <v>173</v>
      </c>
      <c r="P185" s="38" t="s">
        <v>173</v>
      </c>
      <c r="Q185" s="38" t="s">
        <v>173</v>
      </c>
      <c r="R185" s="38" t="s">
        <v>173</v>
      </c>
      <c r="S185" s="38" t="s">
        <v>173</v>
      </c>
      <c r="T185" s="45"/>
      <c r="U185" s="45"/>
      <c r="V185" s="45"/>
      <c r="W185" s="45"/>
      <c r="X185" s="45"/>
      <c r="Y185" s="45"/>
      <c r="Z185" s="45"/>
      <c r="AA185" s="45"/>
      <c r="AB185" s="69">
        <v>5.4127180000000004E-3</v>
      </c>
      <c r="AC185" s="69">
        <v>1.6238155000000001E-2</v>
      </c>
      <c r="AD185" s="69">
        <v>1.6238200000000001E-2</v>
      </c>
      <c r="AE185" s="69">
        <v>1.6238200000000001E-2</v>
      </c>
      <c r="AF185" s="69">
        <v>1.6238155000000001E-2</v>
      </c>
      <c r="AG185" s="69">
        <v>1.6238200000000001E-2</v>
      </c>
      <c r="AH185" s="69">
        <v>1.6238200000000001E-2</v>
      </c>
      <c r="AI185" s="69">
        <v>1.6238155000000001E-2</v>
      </c>
      <c r="AJ185" s="69">
        <v>1.6238155000000001E-2</v>
      </c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</row>
    <row r="186" spans="1:49" x14ac:dyDescent="0.25">
      <c r="A186" s="4">
        <v>2059</v>
      </c>
      <c r="B186" s="66">
        <v>2.480229E-3</v>
      </c>
      <c r="C186" s="67">
        <v>2.2492419999999998E-3</v>
      </c>
      <c r="D186" s="67">
        <v>3.045056E-3</v>
      </c>
      <c r="E186" s="67">
        <v>2.71828E-3</v>
      </c>
      <c r="F186" s="67">
        <v>1.314623E-3</v>
      </c>
      <c r="G186" s="68">
        <v>1.314623E-3</v>
      </c>
      <c r="H186" s="45"/>
      <c r="I186" s="45"/>
      <c r="J186" s="45"/>
      <c r="K186" s="45"/>
      <c r="L186" s="45"/>
      <c r="M186" s="4"/>
      <c r="N186" s="38" t="s">
        <v>173</v>
      </c>
      <c r="O186" s="38" t="s">
        <v>173</v>
      </c>
      <c r="P186" s="38" t="s">
        <v>173</v>
      </c>
      <c r="Q186" s="38" t="s">
        <v>173</v>
      </c>
      <c r="R186" s="38" t="s">
        <v>173</v>
      </c>
      <c r="S186" s="38" t="s">
        <v>173</v>
      </c>
      <c r="T186" s="45"/>
      <c r="U186" s="45"/>
      <c r="V186" s="45"/>
      <c r="W186" s="45"/>
      <c r="X186" s="45"/>
      <c r="Y186" s="45"/>
      <c r="Z186" s="45"/>
      <c r="AA186" s="45"/>
      <c r="AB186" s="69">
        <v>5.4127180000000004E-3</v>
      </c>
      <c r="AC186" s="69">
        <v>1.6238155000000001E-2</v>
      </c>
      <c r="AD186" s="69">
        <v>1.6238200000000001E-2</v>
      </c>
      <c r="AE186" s="69">
        <v>1.6238200000000001E-2</v>
      </c>
      <c r="AF186" s="69">
        <v>1.6238155000000001E-2</v>
      </c>
      <c r="AG186" s="69">
        <v>1.6238200000000001E-2</v>
      </c>
      <c r="AH186" s="69">
        <v>1.6238200000000001E-2</v>
      </c>
      <c r="AI186" s="69">
        <v>1.6238155000000001E-2</v>
      </c>
      <c r="AJ186" s="69">
        <v>1.6238155000000001E-2</v>
      </c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</row>
    <row r="187" spans="1:49" x14ac:dyDescent="0.25">
      <c r="A187" s="4">
        <v>2060</v>
      </c>
      <c r="B187" s="66">
        <v>2.480229E-3</v>
      </c>
      <c r="C187" s="67">
        <v>2.2492419999999998E-3</v>
      </c>
      <c r="D187" s="67">
        <v>3.045056E-3</v>
      </c>
      <c r="E187" s="67">
        <v>2.71828E-3</v>
      </c>
      <c r="F187" s="67">
        <v>1.314623E-3</v>
      </c>
      <c r="G187" s="68">
        <v>1.314623E-3</v>
      </c>
      <c r="H187" s="45"/>
      <c r="I187" s="45"/>
      <c r="J187" s="45"/>
      <c r="K187" s="45"/>
      <c r="L187" s="45"/>
      <c r="M187" s="4"/>
      <c r="N187" s="38" t="s">
        <v>173</v>
      </c>
      <c r="O187" s="38" t="s">
        <v>173</v>
      </c>
      <c r="P187" s="38" t="s">
        <v>173</v>
      </c>
      <c r="Q187" s="38" t="s">
        <v>173</v>
      </c>
      <c r="R187" s="38" t="s">
        <v>173</v>
      </c>
      <c r="S187" s="38" t="s">
        <v>173</v>
      </c>
      <c r="T187" s="45"/>
      <c r="U187" s="45"/>
      <c r="V187" s="45"/>
      <c r="W187" s="45"/>
      <c r="X187" s="45"/>
      <c r="Y187" s="45"/>
      <c r="Z187" s="45"/>
      <c r="AA187" s="45"/>
      <c r="AB187" s="69">
        <v>5.4127180000000004E-3</v>
      </c>
      <c r="AC187" s="69">
        <v>1.6238155000000001E-2</v>
      </c>
      <c r="AD187" s="69">
        <v>1.6238200000000001E-2</v>
      </c>
      <c r="AE187" s="69">
        <v>1.6238200000000001E-2</v>
      </c>
      <c r="AF187" s="69">
        <v>1.6238155000000001E-2</v>
      </c>
      <c r="AG187" s="69">
        <v>1.6238200000000001E-2</v>
      </c>
      <c r="AH187" s="69">
        <v>1.6238200000000001E-2</v>
      </c>
      <c r="AI187" s="69">
        <v>1.6238155000000001E-2</v>
      </c>
      <c r="AJ187" s="69">
        <v>1.6238155000000001E-2</v>
      </c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</row>
    <row r="188" spans="1:49" x14ac:dyDescent="0.25">
      <c r="A188" s="4">
        <v>2061</v>
      </c>
      <c r="B188" s="66">
        <v>2.480229E-3</v>
      </c>
      <c r="C188" s="67">
        <v>2.2492419999999998E-3</v>
      </c>
      <c r="D188" s="67">
        <v>3.045056E-3</v>
      </c>
      <c r="E188" s="67">
        <v>2.71828E-3</v>
      </c>
      <c r="F188" s="67">
        <v>1.314623E-3</v>
      </c>
      <c r="G188" s="68">
        <v>1.314623E-3</v>
      </c>
      <c r="H188" s="45"/>
      <c r="I188" s="45"/>
      <c r="J188" s="45"/>
      <c r="K188" s="45"/>
      <c r="L188" s="45"/>
      <c r="M188" s="4"/>
      <c r="N188" s="38" t="s">
        <v>173</v>
      </c>
      <c r="O188" s="38" t="s">
        <v>173</v>
      </c>
      <c r="P188" s="38" t="s">
        <v>173</v>
      </c>
      <c r="Q188" s="38" t="s">
        <v>173</v>
      </c>
      <c r="R188" s="38" t="s">
        <v>173</v>
      </c>
      <c r="S188" s="38" t="s">
        <v>173</v>
      </c>
      <c r="T188" s="45"/>
      <c r="U188" s="45"/>
      <c r="V188" s="45"/>
      <c r="W188" s="45"/>
      <c r="X188" s="45"/>
      <c r="Y188" s="45"/>
      <c r="Z188" s="45"/>
      <c r="AA188" s="45"/>
      <c r="AB188" s="69">
        <v>5.4127180000000004E-3</v>
      </c>
      <c r="AC188" s="69">
        <v>1.6238155000000001E-2</v>
      </c>
      <c r="AD188" s="69">
        <v>1.6238200000000001E-2</v>
      </c>
      <c r="AE188" s="69">
        <v>1.6238200000000001E-2</v>
      </c>
      <c r="AF188" s="69">
        <v>1.6238155000000001E-2</v>
      </c>
      <c r="AG188" s="69">
        <v>1.6238200000000001E-2</v>
      </c>
      <c r="AH188" s="69">
        <v>1.6238200000000001E-2</v>
      </c>
      <c r="AI188" s="69">
        <v>1.6238155000000001E-2</v>
      </c>
      <c r="AJ188" s="69">
        <v>1.6238155000000001E-2</v>
      </c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</row>
    <row r="189" spans="1:49" x14ac:dyDescent="0.25">
      <c r="A189" s="4">
        <v>2062</v>
      </c>
      <c r="B189" s="66">
        <v>2.480229E-3</v>
      </c>
      <c r="C189" s="67">
        <v>2.2492419999999998E-3</v>
      </c>
      <c r="D189" s="67">
        <v>3.045056E-3</v>
      </c>
      <c r="E189" s="67">
        <v>2.71828E-3</v>
      </c>
      <c r="F189" s="67">
        <v>1.314623E-3</v>
      </c>
      <c r="G189" s="68">
        <v>1.314623E-3</v>
      </c>
      <c r="H189" s="45"/>
      <c r="I189" s="45"/>
      <c r="J189" s="45"/>
      <c r="K189" s="45"/>
      <c r="L189" s="45"/>
      <c r="M189" s="4"/>
      <c r="N189" s="38" t="s">
        <v>173</v>
      </c>
      <c r="O189" s="38" t="s">
        <v>173</v>
      </c>
      <c r="P189" s="38" t="s">
        <v>173</v>
      </c>
      <c r="Q189" s="38" t="s">
        <v>173</v>
      </c>
      <c r="R189" s="38" t="s">
        <v>173</v>
      </c>
      <c r="S189" s="38" t="s">
        <v>173</v>
      </c>
      <c r="T189" s="45"/>
      <c r="U189" s="45"/>
      <c r="V189" s="45"/>
      <c r="W189" s="45"/>
      <c r="X189" s="45"/>
      <c r="Y189" s="45"/>
      <c r="Z189" s="45"/>
      <c r="AA189" s="45"/>
      <c r="AB189" s="69">
        <v>5.4127180000000004E-3</v>
      </c>
      <c r="AC189" s="69">
        <v>1.6238155000000001E-2</v>
      </c>
      <c r="AD189" s="69">
        <v>1.6238200000000001E-2</v>
      </c>
      <c r="AE189" s="69">
        <v>1.6238200000000001E-2</v>
      </c>
      <c r="AF189" s="69">
        <v>1.6238155000000001E-2</v>
      </c>
      <c r="AG189" s="69">
        <v>1.6238200000000001E-2</v>
      </c>
      <c r="AH189" s="69">
        <v>1.6238200000000001E-2</v>
      </c>
      <c r="AI189" s="69">
        <v>1.6238155000000001E-2</v>
      </c>
      <c r="AJ189" s="69">
        <v>1.6238155000000001E-2</v>
      </c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</row>
    <row r="190" spans="1:49" x14ac:dyDescent="0.25">
      <c r="A190" s="4">
        <v>2063</v>
      </c>
      <c r="B190" s="66">
        <v>2.480229E-3</v>
      </c>
      <c r="C190" s="67">
        <v>2.2492419999999998E-3</v>
      </c>
      <c r="D190" s="67">
        <v>3.045056E-3</v>
      </c>
      <c r="E190" s="67">
        <v>2.71828E-3</v>
      </c>
      <c r="F190" s="67">
        <v>1.314623E-3</v>
      </c>
      <c r="G190" s="68">
        <v>1.314623E-3</v>
      </c>
      <c r="H190" s="45"/>
      <c r="I190" s="45"/>
      <c r="J190" s="45"/>
      <c r="K190" s="45"/>
      <c r="L190" s="45"/>
      <c r="M190" s="4"/>
      <c r="N190" s="38" t="s">
        <v>173</v>
      </c>
      <c r="O190" s="38" t="s">
        <v>173</v>
      </c>
      <c r="P190" s="38" t="s">
        <v>173</v>
      </c>
      <c r="Q190" s="38" t="s">
        <v>173</v>
      </c>
      <c r="R190" s="38" t="s">
        <v>173</v>
      </c>
      <c r="S190" s="38" t="s">
        <v>173</v>
      </c>
      <c r="T190" s="45"/>
      <c r="U190" s="45"/>
      <c r="V190" s="45"/>
      <c r="W190" s="45"/>
      <c r="X190" s="45"/>
      <c r="Y190" s="45"/>
      <c r="Z190" s="45"/>
      <c r="AA190" s="45"/>
      <c r="AB190" s="69">
        <v>5.4127180000000004E-3</v>
      </c>
      <c r="AC190" s="69">
        <v>1.6238155000000001E-2</v>
      </c>
      <c r="AD190" s="69">
        <v>1.6238200000000001E-2</v>
      </c>
      <c r="AE190" s="69">
        <v>1.6238200000000001E-2</v>
      </c>
      <c r="AF190" s="69">
        <v>1.6238155000000001E-2</v>
      </c>
      <c r="AG190" s="69">
        <v>1.6238200000000001E-2</v>
      </c>
      <c r="AH190" s="69">
        <v>1.6238200000000001E-2</v>
      </c>
      <c r="AI190" s="69">
        <v>1.6238155000000001E-2</v>
      </c>
      <c r="AJ190" s="69">
        <v>1.6238155000000001E-2</v>
      </c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</row>
    <row r="191" spans="1:49" x14ac:dyDescent="0.25">
      <c r="A191" s="4">
        <v>2064</v>
      </c>
      <c r="B191" s="66">
        <v>2.480229E-3</v>
      </c>
      <c r="C191" s="67">
        <v>2.2492419999999998E-3</v>
      </c>
      <c r="D191" s="67">
        <v>3.045056E-3</v>
      </c>
      <c r="E191" s="67">
        <v>2.71828E-3</v>
      </c>
      <c r="F191" s="67">
        <v>1.314623E-3</v>
      </c>
      <c r="G191" s="68">
        <v>1.314623E-3</v>
      </c>
      <c r="H191" s="45"/>
      <c r="I191" s="45"/>
      <c r="J191" s="45"/>
      <c r="K191" s="45"/>
      <c r="L191" s="45"/>
      <c r="M191" s="4"/>
      <c r="N191" s="38" t="s">
        <v>173</v>
      </c>
      <c r="O191" s="38" t="s">
        <v>173</v>
      </c>
      <c r="P191" s="38" t="s">
        <v>173</v>
      </c>
      <c r="Q191" s="38" t="s">
        <v>173</v>
      </c>
      <c r="R191" s="38" t="s">
        <v>173</v>
      </c>
      <c r="S191" s="38" t="s">
        <v>173</v>
      </c>
      <c r="T191" s="45"/>
      <c r="U191" s="45"/>
      <c r="V191" s="45"/>
      <c r="W191" s="45"/>
      <c r="X191" s="45"/>
      <c r="Y191" s="45"/>
      <c r="Z191" s="45"/>
      <c r="AA191" s="45"/>
      <c r="AB191" s="69">
        <v>5.4127180000000004E-3</v>
      </c>
      <c r="AC191" s="69">
        <v>1.6238155000000001E-2</v>
      </c>
      <c r="AD191" s="69">
        <v>1.6238200000000001E-2</v>
      </c>
      <c r="AE191" s="69">
        <v>1.6238200000000001E-2</v>
      </c>
      <c r="AF191" s="69">
        <v>1.6238155000000001E-2</v>
      </c>
      <c r="AG191" s="69">
        <v>1.6238200000000001E-2</v>
      </c>
      <c r="AH191" s="69">
        <v>1.6238200000000001E-2</v>
      </c>
      <c r="AI191" s="69">
        <v>1.6238155000000001E-2</v>
      </c>
      <c r="AJ191" s="69">
        <v>1.6238155000000001E-2</v>
      </c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</row>
    <row r="192" spans="1:49" x14ac:dyDescent="0.25">
      <c r="A192" s="4">
        <v>2065</v>
      </c>
      <c r="B192" s="66">
        <v>2.480229E-3</v>
      </c>
      <c r="C192" s="67">
        <v>2.2492419999999998E-3</v>
      </c>
      <c r="D192" s="67">
        <v>3.045056E-3</v>
      </c>
      <c r="E192" s="67">
        <v>2.71828E-3</v>
      </c>
      <c r="F192" s="67">
        <v>1.314623E-3</v>
      </c>
      <c r="G192" s="68">
        <v>1.314623E-3</v>
      </c>
      <c r="H192" s="45"/>
      <c r="I192" s="45"/>
      <c r="J192" s="45"/>
      <c r="K192" s="45"/>
      <c r="L192" s="45"/>
      <c r="M192" s="4"/>
      <c r="N192" s="38" t="s">
        <v>173</v>
      </c>
      <c r="O192" s="38" t="s">
        <v>173</v>
      </c>
      <c r="P192" s="38" t="s">
        <v>173</v>
      </c>
      <c r="Q192" s="38" t="s">
        <v>173</v>
      </c>
      <c r="R192" s="38" t="s">
        <v>173</v>
      </c>
      <c r="S192" s="38" t="s">
        <v>173</v>
      </c>
      <c r="T192" s="45"/>
      <c r="U192" s="45"/>
      <c r="V192" s="45"/>
      <c r="W192" s="45"/>
      <c r="X192" s="45"/>
      <c r="Y192" s="45"/>
      <c r="Z192" s="45"/>
      <c r="AA192" s="45"/>
      <c r="AB192" s="69">
        <v>5.4127180000000004E-3</v>
      </c>
      <c r="AC192" s="69">
        <v>1.6238155000000001E-2</v>
      </c>
      <c r="AD192" s="69">
        <v>1.6238200000000001E-2</v>
      </c>
      <c r="AE192" s="69">
        <v>1.6238200000000001E-2</v>
      </c>
      <c r="AF192" s="69">
        <v>1.6238155000000001E-2</v>
      </c>
      <c r="AG192" s="69">
        <v>1.6238200000000001E-2</v>
      </c>
      <c r="AH192" s="69">
        <v>1.6238200000000001E-2</v>
      </c>
      <c r="AI192" s="69">
        <v>1.6238155000000001E-2</v>
      </c>
      <c r="AJ192" s="69">
        <v>1.6238155000000001E-2</v>
      </c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</row>
    <row r="193" spans="1:49" x14ac:dyDescent="0.25">
      <c r="A193" s="4">
        <v>2066</v>
      </c>
      <c r="B193" s="66">
        <v>2.480229E-3</v>
      </c>
      <c r="C193" s="67">
        <v>2.2492419999999998E-3</v>
      </c>
      <c r="D193" s="67">
        <v>3.045056E-3</v>
      </c>
      <c r="E193" s="67">
        <v>2.71828E-3</v>
      </c>
      <c r="F193" s="67">
        <v>1.314623E-3</v>
      </c>
      <c r="G193" s="68">
        <v>1.314623E-3</v>
      </c>
      <c r="H193" s="45"/>
      <c r="I193" s="45"/>
      <c r="J193" s="45"/>
      <c r="K193" s="45"/>
      <c r="L193" s="45"/>
      <c r="M193" s="4"/>
      <c r="N193" s="38" t="s">
        <v>173</v>
      </c>
      <c r="O193" s="38" t="s">
        <v>173</v>
      </c>
      <c r="P193" s="38" t="s">
        <v>173</v>
      </c>
      <c r="Q193" s="38" t="s">
        <v>173</v>
      </c>
      <c r="R193" s="38" t="s">
        <v>173</v>
      </c>
      <c r="S193" s="38" t="s">
        <v>173</v>
      </c>
      <c r="T193" s="45"/>
      <c r="U193" s="45"/>
      <c r="V193" s="45"/>
      <c r="W193" s="45"/>
      <c r="X193" s="45"/>
      <c r="Y193" s="45"/>
      <c r="Z193" s="45"/>
      <c r="AA193" s="45"/>
      <c r="AB193" s="69">
        <v>5.4127180000000004E-3</v>
      </c>
      <c r="AC193" s="69">
        <v>1.6238155000000001E-2</v>
      </c>
      <c r="AD193" s="69">
        <v>1.6238200000000001E-2</v>
      </c>
      <c r="AE193" s="69">
        <v>1.6238200000000001E-2</v>
      </c>
      <c r="AF193" s="69">
        <v>1.6238155000000001E-2</v>
      </c>
      <c r="AG193" s="69">
        <v>1.6238200000000001E-2</v>
      </c>
      <c r="AH193" s="69">
        <v>1.6238200000000001E-2</v>
      </c>
      <c r="AI193" s="69">
        <v>1.6238155000000001E-2</v>
      </c>
      <c r="AJ193" s="69">
        <v>1.6238155000000001E-2</v>
      </c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</row>
    <row r="194" spans="1:49" x14ac:dyDescent="0.25">
      <c r="A194" s="4">
        <v>2067</v>
      </c>
      <c r="B194" s="66">
        <v>2.480229E-3</v>
      </c>
      <c r="C194" s="67">
        <v>2.2492419999999998E-3</v>
      </c>
      <c r="D194" s="67">
        <v>3.045056E-3</v>
      </c>
      <c r="E194" s="67">
        <v>2.71828E-3</v>
      </c>
      <c r="F194" s="67">
        <v>1.314623E-3</v>
      </c>
      <c r="G194" s="68">
        <v>1.314623E-3</v>
      </c>
      <c r="H194" s="45"/>
      <c r="I194" s="45"/>
      <c r="J194" s="45"/>
      <c r="K194" s="45"/>
      <c r="L194" s="45"/>
      <c r="M194" s="4"/>
      <c r="N194" s="38" t="s">
        <v>173</v>
      </c>
      <c r="O194" s="38" t="s">
        <v>173</v>
      </c>
      <c r="P194" s="38" t="s">
        <v>173</v>
      </c>
      <c r="Q194" s="38" t="s">
        <v>173</v>
      </c>
      <c r="R194" s="38" t="s">
        <v>173</v>
      </c>
      <c r="S194" s="38" t="s">
        <v>173</v>
      </c>
      <c r="T194" s="45"/>
      <c r="U194" s="45"/>
      <c r="V194" s="45"/>
      <c r="W194" s="45"/>
      <c r="X194" s="45"/>
      <c r="Y194" s="45"/>
      <c r="Z194" s="45"/>
      <c r="AA194" s="45"/>
      <c r="AB194" s="69">
        <v>5.4127180000000004E-3</v>
      </c>
      <c r="AC194" s="69">
        <v>1.6238155000000001E-2</v>
      </c>
      <c r="AD194" s="69">
        <v>1.6238200000000001E-2</v>
      </c>
      <c r="AE194" s="69">
        <v>1.6238200000000001E-2</v>
      </c>
      <c r="AF194" s="69">
        <v>1.6238155000000001E-2</v>
      </c>
      <c r="AG194" s="69">
        <v>1.6238200000000001E-2</v>
      </c>
      <c r="AH194" s="69">
        <v>1.6238200000000001E-2</v>
      </c>
      <c r="AI194" s="69">
        <v>1.6238155000000001E-2</v>
      </c>
      <c r="AJ194" s="69">
        <v>1.6238155000000001E-2</v>
      </c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</row>
    <row r="195" spans="1:49" x14ac:dyDescent="0.25">
      <c r="A195" s="4">
        <v>2068</v>
      </c>
      <c r="B195" s="66">
        <v>2.480229E-3</v>
      </c>
      <c r="C195" s="67">
        <v>2.2492419999999998E-3</v>
      </c>
      <c r="D195" s="67">
        <v>3.045056E-3</v>
      </c>
      <c r="E195" s="67">
        <v>2.71828E-3</v>
      </c>
      <c r="F195" s="67">
        <v>1.314623E-3</v>
      </c>
      <c r="G195" s="68">
        <v>1.314623E-3</v>
      </c>
      <c r="H195" s="45"/>
      <c r="I195" s="45"/>
      <c r="J195" s="45"/>
      <c r="K195" s="45"/>
      <c r="L195" s="45"/>
      <c r="M195" s="4"/>
      <c r="N195" s="38" t="s">
        <v>173</v>
      </c>
      <c r="O195" s="38" t="s">
        <v>173</v>
      </c>
      <c r="P195" s="38" t="s">
        <v>173</v>
      </c>
      <c r="Q195" s="38" t="s">
        <v>173</v>
      </c>
      <c r="R195" s="38" t="s">
        <v>173</v>
      </c>
      <c r="S195" s="38" t="s">
        <v>173</v>
      </c>
      <c r="T195" s="45"/>
      <c r="U195" s="45"/>
      <c r="V195" s="45"/>
      <c r="W195" s="45"/>
      <c r="X195" s="45"/>
      <c r="Y195" s="45"/>
      <c r="Z195" s="45"/>
      <c r="AA195" s="45"/>
      <c r="AB195" s="69">
        <v>5.4127180000000004E-3</v>
      </c>
      <c r="AC195" s="69">
        <v>1.6238155000000001E-2</v>
      </c>
      <c r="AD195" s="69">
        <v>1.6238200000000001E-2</v>
      </c>
      <c r="AE195" s="69">
        <v>1.6238200000000001E-2</v>
      </c>
      <c r="AF195" s="69">
        <v>1.6238155000000001E-2</v>
      </c>
      <c r="AG195" s="69">
        <v>1.6238200000000001E-2</v>
      </c>
      <c r="AH195" s="69">
        <v>1.6238200000000001E-2</v>
      </c>
      <c r="AI195" s="69">
        <v>1.6238155000000001E-2</v>
      </c>
      <c r="AJ195" s="69">
        <v>1.6238155000000001E-2</v>
      </c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</row>
    <row r="196" spans="1:49" x14ac:dyDescent="0.25">
      <c r="A196" s="4">
        <v>2069</v>
      </c>
      <c r="B196" s="66">
        <v>2.480229E-3</v>
      </c>
      <c r="C196" s="67">
        <v>2.2492419999999998E-3</v>
      </c>
      <c r="D196" s="67">
        <v>3.045056E-3</v>
      </c>
      <c r="E196" s="67">
        <v>2.71828E-3</v>
      </c>
      <c r="F196" s="67">
        <v>1.314623E-3</v>
      </c>
      <c r="G196" s="68">
        <v>1.314623E-3</v>
      </c>
      <c r="H196" s="45"/>
      <c r="I196" s="45"/>
      <c r="J196" s="45"/>
      <c r="K196" s="45"/>
      <c r="L196" s="45"/>
      <c r="M196" s="4"/>
      <c r="N196" s="38" t="s">
        <v>173</v>
      </c>
      <c r="O196" s="38" t="s">
        <v>173</v>
      </c>
      <c r="P196" s="38" t="s">
        <v>173</v>
      </c>
      <c r="Q196" s="38" t="s">
        <v>173</v>
      </c>
      <c r="R196" s="38" t="s">
        <v>173</v>
      </c>
      <c r="S196" s="38" t="s">
        <v>173</v>
      </c>
      <c r="T196" s="45"/>
      <c r="U196" s="45"/>
      <c r="V196" s="45"/>
      <c r="W196" s="45"/>
      <c r="X196" s="45"/>
      <c r="Y196" s="45"/>
      <c r="Z196" s="45"/>
      <c r="AA196" s="45"/>
      <c r="AB196" s="69">
        <v>5.4127180000000004E-3</v>
      </c>
      <c r="AC196" s="69">
        <v>1.6238155000000001E-2</v>
      </c>
      <c r="AD196" s="69">
        <v>1.6238200000000001E-2</v>
      </c>
      <c r="AE196" s="69">
        <v>1.6238200000000001E-2</v>
      </c>
      <c r="AF196" s="69">
        <v>1.6238155000000001E-2</v>
      </c>
      <c r="AG196" s="69">
        <v>1.6238200000000001E-2</v>
      </c>
      <c r="AH196" s="69">
        <v>1.6238200000000001E-2</v>
      </c>
      <c r="AI196" s="69">
        <v>1.6238155000000001E-2</v>
      </c>
      <c r="AJ196" s="69">
        <v>1.6238155000000001E-2</v>
      </c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</row>
    <row r="197" spans="1:49" x14ac:dyDescent="0.25">
      <c r="A197" s="4">
        <v>2070</v>
      </c>
      <c r="B197" s="66">
        <v>2.480229E-3</v>
      </c>
      <c r="C197" s="67">
        <v>2.2492419999999998E-3</v>
      </c>
      <c r="D197" s="67">
        <v>3.045056E-3</v>
      </c>
      <c r="E197" s="67">
        <v>2.71828E-3</v>
      </c>
      <c r="F197" s="67">
        <v>1.314623E-3</v>
      </c>
      <c r="G197" s="68">
        <v>1.314623E-3</v>
      </c>
      <c r="H197" s="45"/>
      <c r="I197" s="45"/>
      <c r="J197" s="45"/>
      <c r="K197" s="45"/>
      <c r="L197" s="45"/>
      <c r="M197" s="4"/>
      <c r="N197" s="38" t="s">
        <v>173</v>
      </c>
      <c r="O197" s="38" t="s">
        <v>173</v>
      </c>
      <c r="P197" s="38" t="s">
        <v>173</v>
      </c>
      <c r="Q197" s="38" t="s">
        <v>173</v>
      </c>
      <c r="R197" s="38" t="s">
        <v>173</v>
      </c>
      <c r="S197" s="38" t="s">
        <v>173</v>
      </c>
      <c r="T197" s="45"/>
      <c r="U197" s="45"/>
      <c r="V197" s="45"/>
      <c r="W197" s="45"/>
      <c r="X197" s="45"/>
      <c r="Y197" s="45"/>
      <c r="Z197" s="45"/>
      <c r="AA197" s="45"/>
      <c r="AB197" s="69">
        <v>5.4127180000000004E-3</v>
      </c>
      <c r="AC197" s="69">
        <v>1.6238155000000001E-2</v>
      </c>
      <c r="AD197" s="69">
        <v>1.6238200000000001E-2</v>
      </c>
      <c r="AE197" s="69">
        <v>1.6238200000000001E-2</v>
      </c>
      <c r="AF197" s="69">
        <v>1.6238155000000001E-2</v>
      </c>
      <c r="AG197" s="69">
        <v>1.6238200000000001E-2</v>
      </c>
      <c r="AH197" s="69">
        <v>1.6238200000000001E-2</v>
      </c>
      <c r="AI197" s="69">
        <v>1.6238155000000001E-2</v>
      </c>
      <c r="AJ197" s="69">
        <v>1.6238155000000001E-2</v>
      </c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</row>
    <row r="198" spans="1:49" x14ac:dyDescent="0.25">
      <c r="A198" s="4">
        <v>2071</v>
      </c>
      <c r="B198" s="66">
        <v>2.480229E-3</v>
      </c>
      <c r="C198" s="67">
        <v>2.2492419999999998E-3</v>
      </c>
      <c r="D198" s="67">
        <v>3.045056E-3</v>
      </c>
      <c r="E198" s="67">
        <v>2.71828E-3</v>
      </c>
      <c r="F198" s="67">
        <v>1.314623E-3</v>
      </c>
      <c r="G198" s="68">
        <v>1.314623E-3</v>
      </c>
      <c r="H198" s="45"/>
      <c r="I198" s="45"/>
      <c r="J198" s="45"/>
      <c r="K198" s="45"/>
      <c r="L198" s="45"/>
      <c r="M198" s="4"/>
      <c r="N198" s="38" t="s">
        <v>173</v>
      </c>
      <c r="O198" s="38" t="s">
        <v>173</v>
      </c>
      <c r="P198" s="38" t="s">
        <v>173</v>
      </c>
      <c r="Q198" s="38" t="s">
        <v>173</v>
      </c>
      <c r="R198" s="38" t="s">
        <v>173</v>
      </c>
      <c r="S198" s="38" t="s">
        <v>173</v>
      </c>
      <c r="T198" s="45"/>
      <c r="U198" s="45"/>
      <c r="V198" s="45"/>
      <c r="W198" s="45"/>
      <c r="X198" s="45"/>
      <c r="Y198" s="45"/>
      <c r="Z198" s="45"/>
      <c r="AA198" s="45"/>
      <c r="AB198" s="69">
        <v>5.4127180000000004E-3</v>
      </c>
      <c r="AC198" s="69">
        <v>1.6238155000000001E-2</v>
      </c>
      <c r="AD198" s="69">
        <v>1.6238200000000001E-2</v>
      </c>
      <c r="AE198" s="69">
        <v>1.6238200000000001E-2</v>
      </c>
      <c r="AF198" s="69">
        <v>1.6238155000000001E-2</v>
      </c>
      <c r="AG198" s="69">
        <v>1.6238200000000001E-2</v>
      </c>
      <c r="AH198" s="69">
        <v>1.6238200000000001E-2</v>
      </c>
      <c r="AI198" s="69">
        <v>1.6238155000000001E-2</v>
      </c>
      <c r="AJ198" s="69">
        <v>1.6238155000000001E-2</v>
      </c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</row>
    <row r="199" spans="1:49" x14ac:dyDescent="0.25">
      <c r="A199" s="4">
        <v>2072</v>
      </c>
      <c r="B199" s="66">
        <v>2.480229E-3</v>
      </c>
      <c r="C199" s="67">
        <v>2.2492419999999998E-3</v>
      </c>
      <c r="D199" s="67">
        <v>3.045056E-3</v>
      </c>
      <c r="E199" s="67">
        <v>2.71828E-3</v>
      </c>
      <c r="F199" s="67">
        <v>1.314623E-3</v>
      </c>
      <c r="G199" s="68">
        <v>1.314623E-3</v>
      </c>
      <c r="H199" s="45"/>
      <c r="I199" s="45"/>
      <c r="J199" s="45"/>
      <c r="K199" s="45"/>
      <c r="L199" s="45"/>
      <c r="M199" s="4"/>
      <c r="N199" s="38" t="s">
        <v>173</v>
      </c>
      <c r="O199" s="38" t="s">
        <v>173</v>
      </c>
      <c r="P199" s="38" t="s">
        <v>173</v>
      </c>
      <c r="Q199" s="38" t="s">
        <v>173</v>
      </c>
      <c r="R199" s="38" t="s">
        <v>173</v>
      </c>
      <c r="S199" s="38" t="s">
        <v>173</v>
      </c>
      <c r="T199" s="45"/>
      <c r="U199" s="45"/>
      <c r="V199" s="45"/>
      <c r="W199" s="45"/>
      <c r="X199" s="45"/>
      <c r="Y199" s="45"/>
      <c r="Z199" s="45"/>
      <c r="AA199" s="45"/>
      <c r="AB199" s="69">
        <v>5.4127180000000004E-3</v>
      </c>
      <c r="AC199" s="69">
        <v>1.6238155000000001E-2</v>
      </c>
      <c r="AD199" s="69">
        <v>1.6238200000000001E-2</v>
      </c>
      <c r="AE199" s="69">
        <v>1.6238200000000001E-2</v>
      </c>
      <c r="AF199" s="69">
        <v>1.6238155000000001E-2</v>
      </c>
      <c r="AG199" s="69">
        <v>1.6238200000000001E-2</v>
      </c>
      <c r="AH199" s="69">
        <v>1.6238200000000001E-2</v>
      </c>
      <c r="AI199" s="69">
        <v>1.6238155000000001E-2</v>
      </c>
      <c r="AJ199" s="69">
        <v>1.6238155000000001E-2</v>
      </c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</row>
    <row r="200" spans="1:49" x14ac:dyDescent="0.25">
      <c r="A200" s="4">
        <v>2073</v>
      </c>
      <c r="B200" s="66">
        <v>2.480229E-3</v>
      </c>
      <c r="C200" s="67">
        <v>2.2492419999999998E-3</v>
      </c>
      <c r="D200" s="67">
        <v>3.045056E-3</v>
      </c>
      <c r="E200" s="67">
        <v>2.71828E-3</v>
      </c>
      <c r="F200" s="67">
        <v>1.314623E-3</v>
      </c>
      <c r="G200" s="68">
        <v>1.314623E-3</v>
      </c>
      <c r="H200" s="45"/>
      <c r="I200" s="45"/>
      <c r="J200" s="45"/>
      <c r="K200" s="45"/>
      <c r="L200" s="45"/>
      <c r="M200" s="4"/>
      <c r="N200" s="38" t="s">
        <v>173</v>
      </c>
      <c r="O200" s="38" t="s">
        <v>173</v>
      </c>
      <c r="P200" s="38" t="s">
        <v>173</v>
      </c>
      <c r="Q200" s="38" t="s">
        <v>173</v>
      </c>
      <c r="R200" s="38" t="s">
        <v>173</v>
      </c>
      <c r="S200" s="38" t="s">
        <v>173</v>
      </c>
      <c r="T200" s="45"/>
      <c r="U200" s="45"/>
      <c r="V200" s="45"/>
      <c r="W200" s="45"/>
      <c r="X200" s="45"/>
      <c r="Y200" s="45"/>
      <c r="Z200" s="45"/>
      <c r="AA200" s="45"/>
      <c r="AB200" s="69">
        <v>5.4127180000000004E-3</v>
      </c>
      <c r="AC200" s="69">
        <v>1.6238155000000001E-2</v>
      </c>
      <c r="AD200" s="69">
        <v>1.6238200000000001E-2</v>
      </c>
      <c r="AE200" s="69">
        <v>1.6238200000000001E-2</v>
      </c>
      <c r="AF200" s="69">
        <v>1.6238155000000001E-2</v>
      </c>
      <c r="AG200" s="69">
        <v>1.6238200000000001E-2</v>
      </c>
      <c r="AH200" s="69">
        <v>1.6238200000000001E-2</v>
      </c>
      <c r="AI200" s="69">
        <v>1.6238155000000001E-2</v>
      </c>
      <c r="AJ200" s="69">
        <v>1.6238155000000001E-2</v>
      </c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</row>
    <row r="201" spans="1:49" x14ac:dyDescent="0.25">
      <c r="A201" s="4">
        <v>2074</v>
      </c>
      <c r="B201" s="66">
        <v>2.480229E-3</v>
      </c>
      <c r="C201" s="67">
        <v>2.2492419999999998E-3</v>
      </c>
      <c r="D201" s="67">
        <v>3.045056E-3</v>
      </c>
      <c r="E201" s="67">
        <v>2.71828E-3</v>
      </c>
      <c r="F201" s="67">
        <v>1.314623E-3</v>
      </c>
      <c r="G201" s="68">
        <v>1.314623E-3</v>
      </c>
      <c r="H201" s="45"/>
      <c r="I201" s="45"/>
      <c r="J201" s="45"/>
      <c r="K201" s="45"/>
      <c r="L201" s="45"/>
      <c r="M201" s="4"/>
      <c r="N201" s="38" t="s">
        <v>173</v>
      </c>
      <c r="O201" s="38" t="s">
        <v>173</v>
      </c>
      <c r="P201" s="38" t="s">
        <v>173</v>
      </c>
      <c r="Q201" s="38" t="s">
        <v>173</v>
      </c>
      <c r="R201" s="38" t="s">
        <v>173</v>
      </c>
      <c r="S201" s="38" t="s">
        <v>173</v>
      </c>
      <c r="T201" s="45"/>
      <c r="U201" s="45"/>
      <c r="V201" s="45"/>
      <c r="W201" s="45"/>
      <c r="X201" s="45"/>
      <c r="Y201" s="45"/>
      <c r="Z201" s="45"/>
      <c r="AA201" s="45"/>
      <c r="AB201" s="69">
        <v>5.4127180000000004E-3</v>
      </c>
      <c r="AC201" s="69">
        <v>1.6238155000000001E-2</v>
      </c>
      <c r="AD201" s="69">
        <v>1.6238200000000001E-2</v>
      </c>
      <c r="AE201" s="69">
        <v>1.6238200000000001E-2</v>
      </c>
      <c r="AF201" s="69">
        <v>1.6238155000000001E-2</v>
      </c>
      <c r="AG201" s="69">
        <v>1.6238200000000001E-2</v>
      </c>
      <c r="AH201" s="69">
        <v>1.6238200000000001E-2</v>
      </c>
      <c r="AI201" s="69">
        <v>1.6238155000000001E-2</v>
      </c>
      <c r="AJ201" s="69">
        <v>1.6238155000000001E-2</v>
      </c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</row>
    <row r="202" spans="1:49" x14ac:dyDescent="0.25">
      <c r="A202" s="4">
        <v>2075</v>
      </c>
      <c r="B202" s="66">
        <v>2.480229E-3</v>
      </c>
      <c r="C202" s="67">
        <v>2.2492419999999998E-3</v>
      </c>
      <c r="D202" s="67">
        <v>3.045056E-3</v>
      </c>
      <c r="E202" s="67">
        <v>2.71828E-3</v>
      </c>
      <c r="F202" s="67">
        <v>1.314623E-3</v>
      </c>
      <c r="G202" s="68">
        <v>1.314623E-3</v>
      </c>
      <c r="H202" s="45"/>
      <c r="I202" s="45"/>
      <c r="J202" s="45"/>
      <c r="K202" s="45"/>
      <c r="L202" s="45"/>
      <c r="M202" s="4"/>
      <c r="N202" s="38" t="s">
        <v>173</v>
      </c>
      <c r="O202" s="38" t="s">
        <v>173</v>
      </c>
      <c r="P202" s="38" t="s">
        <v>173</v>
      </c>
      <c r="Q202" s="38" t="s">
        <v>173</v>
      </c>
      <c r="R202" s="38" t="s">
        <v>173</v>
      </c>
      <c r="S202" s="38" t="s">
        <v>173</v>
      </c>
      <c r="T202" s="45"/>
      <c r="U202" s="45"/>
      <c r="V202" s="45"/>
      <c r="W202" s="45"/>
      <c r="X202" s="45"/>
      <c r="Y202" s="45"/>
      <c r="Z202" s="45"/>
      <c r="AA202" s="45"/>
      <c r="AB202" s="69">
        <v>5.4127180000000004E-3</v>
      </c>
      <c r="AC202" s="69">
        <v>1.6238155000000001E-2</v>
      </c>
      <c r="AD202" s="69">
        <v>1.6238200000000001E-2</v>
      </c>
      <c r="AE202" s="69">
        <v>1.6238200000000001E-2</v>
      </c>
      <c r="AF202" s="69">
        <v>1.6238155000000001E-2</v>
      </c>
      <c r="AG202" s="69">
        <v>1.6238200000000001E-2</v>
      </c>
      <c r="AH202" s="69">
        <v>1.6238200000000001E-2</v>
      </c>
      <c r="AI202" s="69">
        <v>1.6238155000000001E-2</v>
      </c>
      <c r="AJ202" s="69">
        <v>1.6238155000000001E-2</v>
      </c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</row>
    <row r="203" spans="1:49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</row>
    <row r="204" spans="1:49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76" t="s">
        <v>173</v>
      </c>
      <c r="AO204" s="76" t="s">
        <v>173</v>
      </c>
      <c r="AP204" s="76" t="s">
        <v>173</v>
      </c>
      <c r="AQ204" s="76" t="s">
        <v>173</v>
      </c>
      <c r="AR204" s="76" t="s">
        <v>173</v>
      </c>
      <c r="AS204" s="76" t="s">
        <v>173</v>
      </c>
      <c r="AT204" s="76" t="s">
        <v>173</v>
      </c>
      <c r="AU204" s="76" t="s">
        <v>173</v>
      </c>
      <c r="AV204" s="76" t="s">
        <v>173</v>
      </c>
      <c r="AW204" s="76" t="s">
        <v>173</v>
      </c>
    </row>
    <row r="205" spans="1:49" x14ac:dyDescent="0.25">
      <c r="A205" s="76" t="s">
        <v>173</v>
      </c>
      <c r="B205" s="76" t="s">
        <v>173</v>
      </c>
      <c r="C205" s="76" t="s">
        <v>173</v>
      </c>
      <c r="D205" s="76" t="s">
        <v>173</v>
      </c>
      <c r="E205" s="76" t="s">
        <v>173</v>
      </c>
      <c r="F205" s="76" t="s">
        <v>173</v>
      </c>
      <c r="G205" s="76" t="s">
        <v>173</v>
      </c>
      <c r="H205" s="76" t="s">
        <v>173</v>
      </c>
      <c r="I205" s="76" t="s">
        <v>173</v>
      </c>
      <c r="J205" s="76" t="s">
        <v>173</v>
      </c>
      <c r="K205" s="76" t="s">
        <v>173</v>
      </c>
      <c r="L205" s="76" t="s">
        <v>173</v>
      </c>
      <c r="M205" s="76" t="s">
        <v>173</v>
      </c>
      <c r="N205" s="76" t="s">
        <v>173</v>
      </c>
      <c r="O205" s="76" t="s">
        <v>173</v>
      </c>
      <c r="P205" s="76" t="s">
        <v>173</v>
      </c>
      <c r="Q205" s="76" t="s">
        <v>173</v>
      </c>
      <c r="R205" s="76" t="s">
        <v>173</v>
      </c>
      <c r="S205" s="76" t="s">
        <v>173</v>
      </c>
      <c r="T205" s="76" t="s">
        <v>173</v>
      </c>
      <c r="U205" s="76" t="s">
        <v>173</v>
      </c>
      <c r="V205" s="76" t="s">
        <v>173</v>
      </c>
      <c r="W205" s="76" t="s">
        <v>173</v>
      </c>
      <c r="X205" s="76" t="s">
        <v>173</v>
      </c>
      <c r="Y205" s="76" t="s">
        <v>173</v>
      </c>
      <c r="Z205" s="76" t="s">
        <v>173</v>
      </c>
      <c r="AA205" s="76" t="s">
        <v>173</v>
      </c>
      <c r="AB205" s="76" t="s">
        <v>173</v>
      </c>
      <c r="AC205" s="76" t="s">
        <v>173</v>
      </c>
      <c r="AD205" s="76" t="s">
        <v>173</v>
      </c>
      <c r="AE205" s="76" t="s">
        <v>173</v>
      </c>
      <c r="AF205" s="76" t="s">
        <v>173</v>
      </c>
      <c r="AG205" s="76" t="s">
        <v>173</v>
      </c>
      <c r="AH205" s="76" t="s">
        <v>173</v>
      </c>
      <c r="AI205" s="76" t="s">
        <v>173</v>
      </c>
      <c r="AJ205" s="76" t="s">
        <v>173</v>
      </c>
      <c r="AK205" s="76" t="s">
        <v>173</v>
      </c>
      <c r="AL205" s="76" t="s">
        <v>173</v>
      </c>
      <c r="AM205" s="76" t="s">
        <v>173</v>
      </c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</row>
    <row r="206" spans="1:49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</row>
    <row r="207" spans="1:49" x14ac:dyDescent="0.25">
      <c r="A207" s="45"/>
      <c r="B207" s="49" t="s">
        <v>271</v>
      </c>
      <c r="C207" s="49" t="s">
        <v>173</v>
      </c>
      <c r="D207" s="49" t="s">
        <v>173</v>
      </c>
      <c r="E207" s="49" t="s">
        <v>173</v>
      </c>
      <c r="F207" s="49" t="s">
        <v>173</v>
      </c>
      <c r="G207" s="49" t="s">
        <v>173</v>
      </c>
      <c r="H207" s="49" t="s">
        <v>173</v>
      </c>
      <c r="I207" s="49" t="s">
        <v>173</v>
      </c>
      <c r="J207" s="49" t="s">
        <v>173</v>
      </c>
      <c r="K207" s="49" t="s">
        <v>173</v>
      </c>
      <c r="L207" s="49" t="s">
        <v>173</v>
      </c>
      <c r="M207" s="49" t="s">
        <v>173</v>
      </c>
      <c r="N207" s="49" t="s">
        <v>173</v>
      </c>
      <c r="O207" s="49" t="s">
        <v>173</v>
      </c>
      <c r="P207" s="49" t="s">
        <v>173</v>
      </c>
      <c r="Q207" s="49" t="s">
        <v>173</v>
      </c>
      <c r="R207" s="49" t="s">
        <v>173</v>
      </c>
      <c r="S207" s="49" t="s">
        <v>173</v>
      </c>
      <c r="T207" s="49" t="s">
        <v>173</v>
      </c>
      <c r="U207" s="49" t="s">
        <v>173</v>
      </c>
      <c r="V207" s="49" t="s">
        <v>173</v>
      </c>
      <c r="W207" s="49" t="s">
        <v>173</v>
      </c>
      <c r="X207" s="49" t="s">
        <v>173</v>
      </c>
      <c r="Y207" s="49" t="s">
        <v>173</v>
      </c>
      <c r="Z207" s="49" t="s">
        <v>173</v>
      </c>
      <c r="AA207" s="49" t="s">
        <v>173</v>
      </c>
      <c r="AB207" s="49" t="s">
        <v>173</v>
      </c>
      <c r="AC207" s="49" t="s">
        <v>173</v>
      </c>
      <c r="AD207" s="49" t="s">
        <v>173</v>
      </c>
      <c r="AE207" s="49" t="s">
        <v>173</v>
      </c>
      <c r="AF207" s="49" t="s">
        <v>173</v>
      </c>
      <c r="AG207" s="49" t="s">
        <v>173</v>
      </c>
      <c r="AH207" s="49" t="s">
        <v>173</v>
      </c>
      <c r="AI207" s="49" t="s">
        <v>173</v>
      </c>
      <c r="AJ207" s="49" t="s">
        <v>173</v>
      </c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</row>
    <row r="208" spans="1:49" x14ac:dyDescent="0.25">
      <c r="A208" s="45"/>
      <c r="B208" s="3"/>
      <c r="C208" s="3"/>
      <c r="D208" s="3"/>
      <c r="E208" s="3"/>
      <c r="F208" s="3"/>
      <c r="G208" s="3"/>
      <c r="H208" s="45"/>
      <c r="I208" s="45"/>
      <c r="J208" s="45"/>
      <c r="K208" s="45"/>
      <c r="L208" s="45"/>
      <c r="M208" s="45"/>
      <c r="N208" s="3"/>
      <c r="O208" s="3"/>
      <c r="P208" s="3"/>
      <c r="Q208" s="3"/>
      <c r="R208" s="3"/>
      <c r="S208" s="3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</row>
    <row r="209" spans="1:49" x14ac:dyDescent="0.25">
      <c r="A209" s="45"/>
      <c r="B209" s="6" t="s">
        <v>173</v>
      </c>
      <c r="C209" s="6" t="s">
        <v>173</v>
      </c>
      <c r="D209" s="6" t="s">
        <v>173</v>
      </c>
      <c r="E209" s="6" t="s">
        <v>173</v>
      </c>
      <c r="F209" s="6" t="s">
        <v>173</v>
      </c>
      <c r="G209" s="6" t="s">
        <v>173</v>
      </c>
      <c r="H209" s="45"/>
      <c r="I209" s="45"/>
      <c r="J209" s="45"/>
      <c r="K209" s="45"/>
      <c r="L209" s="45"/>
      <c r="M209" s="45"/>
      <c r="N209" s="3"/>
      <c r="O209" s="3"/>
      <c r="P209" s="3"/>
      <c r="Q209" s="3"/>
      <c r="R209" s="3"/>
      <c r="S209" s="3"/>
      <c r="T209" s="45"/>
      <c r="U209" s="45"/>
      <c r="V209" s="45"/>
      <c r="W209" s="45"/>
      <c r="X209" s="45"/>
      <c r="Y209" s="45"/>
      <c r="Z209" s="45"/>
      <c r="AA209" s="45"/>
      <c r="AB209" s="45">
        <v>1</v>
      </c>
      <c r="AC209" s="45">
        <v>2</v>
      </c>
      <c r="AD209" s="45">
        <v>3</v>
      </c>
      <c r="AE209" s="45">
        <v>4</v>
      </c>
      <c r="AF209" s="45">
        <v>5</v>
      </c>
      <c r="AG209" s="45">
        <v>6</v>
      </c>
      <c r="AH209" s="45">
        <v>7</v>
      </c>
      <c r="AI209" s="45">
        <v>8</v>
      </c>
      <c r="AJ209" s="45">
        <v>9</v>
      </c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</row>
    <row r="210" spans="1:49" x14ac:dyDescent="0.25">
      <c r="A210" s="45"/>
      <c r="B210" s="97" t="s">
        <v>178</v>
      </c>
      <c r="C210" s="101" t="s">
        <v>179</v>
      </c>
      <c r="D210" s="101" t="s">
        <v>180</v>
      </c>
      <c r="E210" s="101" t="s">
        <v>181</v>
      </c>
      <c r="F210" s="101" t="s">
        <v>238</v>
      </c>
      <c r="G210" s="99" t="s">
        <v>239</v>
      </c>
      <c r="H210" s="45"/>
      <c r="I210" s="45"/>
      <c r="J210" s="45"/>
      <c r="K210" s="45"/>
      <c r="L210" s="45"/>
      <c r="M210" s="45"/>
      <c r="N210" s="101"/>
      <c r="O210" s="101"/>
      <c r="P210" s="101"/>
      <c r="Q210" s="101"/>
      <c r="R210" s="101"/>
      <c r="S210" s="101"/>
      <c r="T210" s="45"/>
      <c r="U210" s="45"/>
      <c r="V210" s="45"/>
      <c r="W210" s="45"/>
      <c r="X210" s="45"/>
      <c r="Y210" s="45"/>
      <c r="Z210" s="45"/>
      <c r="AA210" s="45"/>
      <c r="AB210" s="45" t="s">
        <v>185</v>
      </c>
      <c r="AC210" s="45" t="s">
        <v>229</v>
      </c>
      <c r="AD210" s="45" t="s">
        <v>230</v>
      </c>
      <c r="AE210" s="45" t="s">
        <v>231</v>
      </c>
      <c r="AF210" s="45" t="s">
        <v>232</v>
      </c>
      <c r="AG210" s="45" t="s">
        <v>233</v>
      </c>
      <c r="AH210" s="45" t="s">
        <v>234</v>
      </c>
      <c r="AI210" s="45" t="s">
        <v>235</v>
      </c>
      <c r="AJ210" s="45" t="s">
        <v>236</v>
      </c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</row>
    <row r="211" spans="1:49" x14ac:dyDescent="0.25">
      <c r="A211" s="45"/>
      <c r="B211" s="97"/>
      <c r="C211" s="101"/>
      <c r="D211" s="101"/>
      <c r="E211" s="101"/>
      <c r="F211" s="101"/>
      <c r="G211" s="99"/>
      <c r="H211" s="45"/>
      <c r="I211" s="45"/>
      <c r="J211" s="45"/>
      <c r="K211" s="45"/>
      <c r="L211" s="45"/>
      <c r="M211" s="45"/>
      <c r="N211" s="101"/>
      <c r="O211" s="101"/>
      <c r="P211" s="101"/>
      <c r="Q211" s="101"/>
      <c r="R211" s="101"/>
      <c r="S211" s="101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</row>
    <row r="212" spans="1:49" x14ac:dyDescent="0.25">
      <c r="A212" s="45"/>
      <c r="B212" s="34" t="s">
        <v>173</v>
      </c>
      <c r="C212" s="3"/>
      <c r="D212" s="3"/>
      <c r="E212" s="3"/>
      <c r="F212" s="3"/>
      <c r="G212" s="30" t="s">
        <v>173</v>
      </c>
      <c r="H212" s="45"/>
      <c r="I212" s="45"/>
      <c r="J212" s="45"/>
      <c r="K212" s="45"/>
      <c r="L212" s="45"/>
      <c r="M212" s="45"/>
      <c r="N212" s="3"/>
      <c r="O212" s="3"/>
      <c r="P212" s="3"/>
      <c r="Q212" s="3"/>
      <c r="R212" s="3"/>
      <c r="S212" s="3"/>
      <c r="T212" s="45"/>
      <c r="U212" s="45"/>
      <c r="V212" s="45"/>
      <c r="W212" s="45"/>
      <c r="X212" s="45"/>
      <c r="Y212" s="45"/>
      <c r="Z212" s="45"/>
      <c r="AA212" s="45"/>
      <c r="AB212" s="45" t="s">
        <v>185</v>
      </c>
      <c r="AC212" s="45" t="s">
        <v>246</v>
      </c>
      <c r="AD212" s="45" t="s">
        <v>246</v>
      </c>
      <c r="AE212" s="45" t="s">
        <v>246</v>
      </c>
      <c r="AF212" s="45" t="s">
        <v>247</v>
      </c>
      <c r="AG212" s="45" t="s">
        <v>247</v>
      </c>
      <c r="AH212" s="45" t="s">
        <v>247</v>
      </c>
      <c r="AI212" s="45" t="s">
        <v>246</v>
      </c>
      <c r="AJ212" s="45" t="s">
        <v>246</v>
      </c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</row>
    <row r="213" spans="1:49" x14ac:dyDescent="0.25">
      <c r="A213" s="45"/>
      <c r="B213" s="34" t="s">
        <v>192</v>
      </c>
      <c r="C213" s="3" t="s">
        <v>192</v>
      </c>
      <c r="D213" s="3" t="s">
        <v>192</v>
      </c>
      <c r="E213" s="3" t="s">
        <v>192</v>
      </c>
      <c r="F213" s="3" t="s">
        <v>192</v>
      </c>
      <c r="G213" s="30" t="s">
        <v>192</v>
      </c>
      <c r="H213" s="45"/>
      <c r="I213" s="45"/>
      <c r="J213" s="45"/>
      <c r="K213" s="45"/>
      <c r="L213" s="45"/>
      <c r="M213" s="45"/>
      <c r="N213" s="3"/>
      <c r="O213" s="3"/>
      <c r="P213" s="3"/>
      <c r="Q213" s="3"/>
      <c r="R213" s="3"/>
      <c r="S213" s="3"/>
      <c r="T213" s="45"/>
      <c r="U213" s="45"/>
      <c r="V213" s="45"/>
      <c r="W213" s="45"/>
      <c r="X213" s="45"/>
      <c r="Y213" s="45"/>
      <c r="Z213" s="45"/>
      <c r="AA213" s="45"/>
      <c r="AB213" s="45" t="s">
        <v>196</v>
      </c>
      <c r="AC213" s="45" t="s">
        <v>196</v>
      </c>
      <c r="AD213" s="45" t="s">
        <v>196</v>
      </c>
      <c r="AE213" s="45" t="s">
        <v>196</v>
      </c>
      <c r="AF213" s="45" t="s">
        <v>196</v>
      </c>
      <c r="AG213" s="45" t="s">
        <v>196</v>
      </c>
      <c r="AH213" s="45" t="s">
        <v>196</v>
      </c>
      <c r="AI213" s="45" t="s">
        <v>196</v>
      </c>
      <c r="AJ213" s="45" t="s">
        <v>196</v>
      </c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</row>
    <row r="214" spans="1:49" x14ac:dyDescent="0.25">
      <c r="A214" s="4">
        <v>2020</v>
      </c>
      <c r="B214" s="77" t="s">
        <v>173</v>
      </c>
      <c r="C214" s="77" t="s">
        <v>173</v>
      </c>
      <c r="D214" s="77" t="s">
        <v>173</v>
      </c>
      <c r="E214" s="77" t="s">
        <v>173</v>
      </c>
      <c r="F214" s="77" t="s">
        <v>173</v>
      </c>
      <c r="G214" s="77" t="s">
        <v>173</v>
      </c>
      <c r="H214" s="45"/>
      <c r="I214" s="45"/>
      <c r="J214" s="45"/>
      <c r="K214" s="45"/>
      <c r="L214" s="45"/>
      <c r="M214" s="4"/>
      <c r="N214" s="3"/>
      <c r="O214" s="3"/>
      <c r="P214" s="3"/>
      <c r="Q214" s="3"/>
      <c r="R214" s="3"/>
      <c r="S214" s="3"/>
      <c r="T214" s="45"/>
      <c r="U214" s="45"/>
      <c r="V214" s="45"/>
      <c r="W214" s="45"/>
      <c r="X214" s="45"/>
      <c r="Y214" s="45"/>
      <c r="Z214" s="45"/>
      <c r="AA214" s="45"/>
      <c r="AB214" s="78" t="s">
        <v>173</v>
      </c>
      <c r="AC214" s="78" t="s">
        <v>173</v>
      </c>
      <c r="AD214" s="78" t="s">
        <v>173</v>
      </c>
      <c r="AE214" s="78" t="s">
        <v>173</v>
      </c>
      <c r="AF214" s="78" t="s">
        <v>173</v>
      </c>
      <c r="AG214" s="78" t="s">
        <v>173</v>
      </c>
      <c r="AH214" s="78" t="s">
        <v>173</v>
      </c>
      <c r="AI214" s="78" t="s">
        <v>173</v>
      </c>
      <c r="AJ214" s="78" t="s">
        <v>173</v>
      </c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</row>
    <row r="215" spans="1:49" x14ac:dyDescent="0.25">
      <c r="A215" s="4">
        <v>2021</v>
      </c>
      <c r="B215" s="79" t="s">
        <v>173</v>
      </c>
      <c r="C215" s="80" t="s">
        <v>173</v>
      </c>
      <c r="D215" s="80" t="s">
        <v>173</v>
      </c>
      <c r="E215" s="80" t="s">
        <v>173</v>
      </c>
      <c r="F215" s="80" t="s">
        <v>173</v>
      </c>
      <c r="G215" s="81" t="s">
        <v>173</v>
      </c>
      <c r="H215" s="45"/>
      <c r="I215" s="45"/>
      <c r="J215" s="45"/>
      <c r="K215" s="45"/>
      <c r="L215" s="45"/>
      <c r="M215" s="4"/>
      <c r="N215" s="3"/>
      <c r="O215" s="3"/>
      <c r="P215" s="3"/>
      <c r="Q215" s="3"/>
      <c r="R215" s="3"/>
      <c r="S215" s="3"/>
      <c r="T215" s="45"/>
      <c r="U215" s="45"/>
      <c r="V215" s="45"/>
      <c r="W215" s="45"/>
      <c r="X215" s="45"/>
      <c r="Y215" s="45"/>
      <c r="Z215" s="45"/>
      <c r="AA215" s="45"/>
      <c r="AB215" s="78" t="s">
        <v>173</v>
      </c>
      <c r="AC215" s="78" t="s">
        <v>173</v>
      </c>
      <c r="AD215" s="78" t="s">
        <v>173</v>
      </c>
      <c r="AE215" s="78" t="s">
        <v>173</v>
      </c>
      <c r="AF215" s="78" t="s">
        <v>173</v>
      </c>
      <c r="AG215" s="78" t="s">
        <v>173</v>
      </c>
      <c r="AH215" s="78" t="s">
        <v>173</v>
      </c>
      <c r="AI215" s="78" t="s">
        <v>173</v>
      </c>
      <c r="AJ215" s="78" t="s">
        <v>173</v>
      </c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</row>
    <row r="216" spans="1:49" x14ac:dyDescent="0.25">
      <c r="A216" s="4">
        <v>2022</v>
      </c>
      <c r="B216" s="79" t="s">
        <v>173</v>
      </c>
      <c r="C216" s="80" t="s">
        <v>173</v>
      </c>
      <c r="D216" s="80" t="s">
        <v>173</v>
      </c>
      <c r="E216" s="80" t="s">
        <v>173</v>
      </c>
      <c r="F216" s="80" t="s">
        <v>173</v>
      </c>
      <c r="G216" s="81" t="s">
        <v>173</v>
      </c>
      <c r="H216" s="45"/>
      <c r="I216" s="45"/>
      <c r="J216" s="45"/>
      <c r="K216" s="45"/>
      <c r="L216" s="45"/>
      <c r="M216" s="4"/>
      <c r="N216" s="3"/>
      <c r="O216" s="3"/>
      <c r="P216" s="3"/>
      <c r="Q216" s="3"/>
      <c r="R216" s="3"/>
      <c r="S216" s="3"/>
      <c r="T216" s="45"/>
      <c r="U216" s="45"/>
      <c r="V216" s="45"/>
      <c r="W216" s="45"/>
      <c r="X216" s="45"/>
      <c r="Y216" s="45"/>
      <c r="Z216" s="45"/>
      <c r="AA216" s="45"/>
      <c r="AB216" s="78" t="s">
        <v>173</v>
      </c>
      <c r="AC216" s="78" t="s">
        <v>173</v>
      </c>
      <c r="AD216" s="78" t="s">
        <v>173</v>
      </c>
      <c r="AE216" s="78" t="s">
        <v>173</v>
      </c>
      <c r="AF216" s="78" t="s">
        <v>173</v>
      </c>
      <c r="AG216" s="78" t="s">
        <v>173</v>
      </c>
      <c r="AH216" s="78" t="s">
        <v>173</v>
      </c>
      <c r="AI216" s="78" t="s">
        <v>173</v>
      </c>
      <c r="AJ216" s="78" t="s">
        <v>173</v>
      </c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</row>
    <row r="217" spans="1:49" x14ac:dyDescent="0.25">
      <c r="A217" s="4">
        <v>2023</v>
      </c>
      <c r="B217" s="79" t="s">
        <v>173</v>
      </c>
      <c r="C217" s="80" t="s">
        <v>173</v>
      </c>
      <c r="D217" s="80" t="s">
        <v>173</v>
      </c>
      <c r="E217" s="80" t="s">
        <v>173</v>
      </c>
      <c r="F217" s="80" t="s">
        <v>173</v>
      </c>
      <c r="G217" s="81" t="s">
        <v>173</v>
      </c>
      <c r="H217" s="45"/>
      <c r="I217" s="45"/>
      <c r="J217" s="45"/>
      <c r="K217" s="45"/>
      <c r="L217" s="45"/>
      <c r="M217" s="4"/>
      <c r="N217" s="3"/>
      <c r="O217" s="3"/>
      <c r="P217" s="3"/>
      <c r="Q217" s="3"/>
      <c r="R217" s="3"/>
      <c r="S217" s="3"/>
      <c r="T217" s="45"/>
      <c r="U217" s="45"/>
      <c r="V217" s="45"/>
      <c r="W217" s="45"/>
      <c r="X217" s="45"/>
      <c r="Y217" s="45"/>
      <c r="Z217" s="45"/>
      <c r="AA217" s="45"/>
      <c r="AB217" s="78" t="s">
        <v>173</v>
      </c>
      <c r="AC217" s="78" t="s">
        <v>173</v>
      </c>
      <c r="AD217" s="78" t="s">
        <v>173</v>
      </c>
      <c r="AE217" s="78" t="s">
        <v>173</v>
      </c>
      <c r="AF217" s="78" t="s">
        <v>173</v>
      </c>
      <c r="AG217" s="78" t="s">
        <v>173</v>
      </c>
      <c r="AH217" s="78" t="s">
        <v>173</v>
      </c>
      <c r="AI217" s="78" t="s">
        <v>173</v>
      </c>
      <c r="AJ217" s="78" t="s">
        <v>173</v>
      </c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</row>
    <row r="218" spans="1:49" x14ac:dyDescent="0.25">
      <c r="A218" s="4">
        <v>2024</v>
      </c>
      <c r="B218" s="79" t="s">
        <v>173</v>
      </c>
      <c r="C218" s="80" t="s">
        <v>173</v>
      </c>
      <c r="D218" s="80" t="s">
        <v>173</v>
      </c>
      <c r="E218" s="80" t="s">
        <v>173</v>
      </c>
      <c r="F218" s="80" t="s">
        <v>173</v>
      </c>
      <c r="G218" s="81" t="s">
        <v>173</v>
      </c>
      <c r="H218" s="45"/>
      <c r="I218" s="45"/>
      <c r="J218" s="45"/>
      <c r="K218" s="45"/>
      <c r="L218" s="45"/>
      <c r="M218" s="4"/>
      <c r="N218" s="3"/>
      <c r="O218" s="3"/>
      <c r="P218" s="3"/>
      <c r="Q218" s="3"/>
      <c r="R218" s="3"/>
      <c r="S218" s="3"/>
      <c r="T218" s="45"/>
      <c r="U218" s="45"/>
      <c r="V218" s="45"/>
      <c r="W218" s="45"/>
      <c r="X218" s="45"/>
      <c r="Y218" s="45"/>
      <c r="Z218" s="45"/>
      <c r="AA218" s="45"/>
      <c r="AB218" s="78" t="s">
        <v>173</v>
      </c>
      <c r="AC218" s="78" t="s">
        <v>173</v>
      </c>
      <c r="AD218" s="78" t="s">
        <v>173</v>
      </c>
      <c r="AE218" s="78" t="s">
        <v>173</v>
      </c>
      <c r="AF218" s="78" t="s">
        <v>173</v>
      </c>
      <c r="AG218" s="78" t="s">
        <v>173</v>
      </c>
      <c r="AH218" s="78" t="s">
        <v>173</v>
      </c>
      <c r="AI218" s="78" t="s">
        <v>173</v>
      </c>
      <c r="AJ218" s="78" t="s">
        <v>173</v>
      </c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</row>
    <row r="219" spans="1:49" x14ac:dyDescent="0.25">
      <c r="A219" s="4">
        <v>2025</v>
      </c>
      <c r="B219" s="79" t="s">
        <v>173</v>
      </c>
      <c r="C219" s="80" t="s">
        <v>173</v>
      </c>
      <c r="D219" s="80" t="s">
        <v>173</v>
      </c>
      <c r="E219" s="80" t="s">
        <v>173</v>
      </c>
      <c r="F219" s="80" t="s">
        <v>173</v>
      </c>
      <c r="G219" s="81" t="s">
        <v>173</v>
      </c>
      <c r="H219" s="45"/>
      <c r="I219" s="45"/>
      <c r="J219" s="45"/>
      <c r="K219" s="45"/>
      <c r="L219" s="45"/>
      <c r="M219" s="4"/>
      <c r="N219" s="3"/>
      <c r="O219" s="3"/>
      <c r="P219" s="3"/>
      <c r="Q219" s="3"/>
      <c r="R219" s="3"/>
      <c r="S219" s="3"/>
      <c r="T219" s="45"/>
      <c r="U219" s="45"/>
      <c r="V219" s="45"/>
      <c r="W219" s="45"/>
      <c r="X219" s="45"/>
      <c r="Y219" s="45"/>
      <c r="Z219" s="45"/>
      <c r="AA219" s="45"/>
      <c r="AB219" s="78" t="s">
        <v>173</v>
      </c>
      <c r="AC219" s="78" t="s">
        <v>173</v>
      </c>
      <c r="AD219" s="78" t="s">
        <v>173</v>
      </c>
      <c r="AE219" s="78" t="s">
        <v>173</v>
      </c>
      <c r="AF219" s="78" t="s">
        <v>173</v>
      </c>
      <c r="AG219" s="78" t="s">
        <v>173</v>
      </c>
      <c r="AH219" s="78" t="s">
        <v>173</v>
      </c>
      <c r="AI219" s="78" t="s">
        <v>173</v>
      </c>
      <c r="AJ219" s="78" t="s">
        <v>173</v>
      </c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</row>
    <row r="220" spans="1:49" x14ac:dyDescent="0.25">
      <c r="A220" s="37">
        <v>2026</v>
      </c>
      <c r="B220" s="79">
        <v>8.2000000000000003E-2</v>
      </c>
      <c r="C220" s="79">
        <v>0.08</v>
      </c>
      <c r="D220" s="79">
        <v>0.09</v>
      </c>
      <c r="E220" s="79">
        <v>8.6999999999999994E-2</v>
      </c>
      <c r="F220" s="79">
        <v>5.5E-2</v>
      </c>
      <c r="G220" s="79">
        <v>5.5E-2</v>
      </c>
      <c r="H220" s="45"/>
      <c r="I220" s="45"/>
      <c r="J220" s="45"/>
      <c r="K220" s="45"/>
      <c r="L220" s="45"/>
      <c r="M220" s="4"/>
      <c r="N220" s="3"/>
      <c r="O220" s="3"/>
      <c r="P220" s="3"/>
      <c r="Q220" s="3"/>
      <c r="R220" s="3"/>
      <c r="S220" s="3"/>
      <c r="T220" s="45"/>
      <c r="U220" s="45"/>
      <c r="V220" s="45"/>
      <c r="W220" s="45"/>
      <c r="X220" s="45"/>
      <c r="Y220" s="45"/>
      <c r="Z220" s="45"/>
      <c r="AA220" s="45"/>
      <c r="AB220" s="79">
        <v>14.605</v>
      </c>
      <c r="AC220" s="79">
        <v>20.398</v>
      </c>
      <c r="AD220" s="79">
        <v>20.398</v>
      </c>
      <c r="AE220" s="79">
        <v>20.398</v>
      </c>
      <c r="AF220" s="79">
        <v>17.347999999999999</v>
      </c>
      <c r="AG220" s="79">
        <v>17.347999999999999</v>
      </c>
      <c r="AH220" s="79">
        <v>17.347999999999999</v>
      </c>
      <c r="AI220" s="79">
        <v>20.497</v>
      </c>
      <c r="AJ220" s="79">
        <v>20.143999999999998</v>
      </c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</row>
    <row r="221" spans="1:49" x14ac:dyDescent="0.25">
      <c r="A221" s="4">
        <v>2027</v>
      </c>
      <c r="B221" s="79">
        <v>8.5000000000000006E-2</v>
      </c>
      <c r="C221" s="79">
        <v>8.4000000000000005E-2</v>
      </c>
      <c r="D221" s="79">
        <v>9.4E-2</v>
      </c>
      <c r="E221" s="79">
        <v>9.0999999999999998E-2</v>
      </c>
      <c r="F221" s="79">
        <v>5.7000000000000002E-2</v>
      </c>
      <c r="G221" s="79">
        <v>5.7000000000000002E-2</v>
      </c>
      <c r="H221" s="45"/>
      <c r="I221" s="45"/>
      <c r="J221" s="45"/>
      <c r="K221" s="45"/>
      <c r="L221" s="45"/>
      <c r="M221" s="4"/>
      <c r="N221" s="3"/>
      <c r="O221" s="3"/>
      <c r="P221" s="3"/>
      <c r="Q221" s="3"/>
      <c r="R221" s="3"/>
      <c r="S221" s="3"/>
      <c r="T221" s="45"/>
      <c r="U221" s="48"/>
      <c r="V221" s="45"/>
      <c r="W221" s="45"/>
      <c r="X221" s="45"/>
      <c r="Y221" s="45"/>
      <c r="Z221" s="45"/>
      <c r="AA221" s="45"/>
      <c r="AB221" s="79">
        <v>14.875999999999999</v>
      </c>
      <c r="AC221" s="79">
        <v>20.777999999999999</v>
      </c>
      <c r="AD221" s="79">
        <v>20.777999999999999</v>
      </c>
      <c r="AE221" s="79">
        <v>20.777999999999999</v>
      </c>
      <c r="AF221" s="79">
        <v>17.670999999999999</v>
      </c>
      <c r="AG221" s="79">
        <v>17.670999999999999</v>
      </c>
      <c r="AH221" s="79">
        <v>17.670999999999999</v>
      </c>
      <c r="AI221" s="79">
        <v>20.878</v>
      </c>
      <c r="AJ221" s="79">
        <v>20.518999999999998</v>
      </c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</row>
    <row r="222" spans="1:49" x14ac:dyDescent="0.25">
      <c r="A222" s="4">
        <v>2028</v>
      </c>
      <c r="B222" s="79">
        <v>8.7999999999999995E-2</v>
      </c>
      <c r="C222" s="79">
        <v>8.7999999999999995E-2</v>
      </c>
      <c r="D222" s="79">
        <v>9.9000000000000005E-2</v>
      </c>
      <c r="E222" s="79">
        <v>9.5000000000000001E-2</v>
      </c>
      <c r="F222" s="79">
        <v>0.06</v>
      </c>
      <c r="G222" s="79">
        <v>0.06</v>
      </c>
      <c r="H222" s="45"/>
      <c r="I222" s="45"/>
      <c r="J222" s="45"/>
      <c r="K222" s="45"/>
      <c r="L222" s="45"/>
      <c r="M222" s="4"/>
      <c r="N222" s="3"/>
      <c r="O222" s="3"/>
      <c r="P222" s="3"/>
      <c r="Q222" s="3"/>
      <c r="R222" s="3"/>
      <c r="S222" s="3"/>
      <c r="T222" s="45"/>
      <c r="U222" s="45"/>
      <c r="V222" s="45"/>
      <c r="W222" s="45"/>
      <c r="X222" s="45"/>
      <c r="Y222" s="45"/>
      <c r="Z222" s="45"/>
      <c r="AA222" s="45"/>
      <c r="AB222" s="79">
        <v>15.148</v>
      </c>
      <c r="AC222" s="79">
        <v>21.157</v>
      </c>
      <c r="AD222" s="79">
        <v>21.157</v>
      </c>
      <c r="AE222" s="79">
        <v>21.157</v>
      </c>
      <c r="AF222" s="79">
        <v>17.994</v>
      </c>
      <c r="AG222" s="79">
        <v>17.994</v>
      </c>
      <c r="AH222" s="79">
        <v>17.994</v>
      </c>
      <c r="AI222" s="79">
        <v>21.26</v>
      </c>
      <c r="AJ222" s="79">
        <v>20.893999999999998</v>
      </c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</row>
    <row r="223" spans="1:49" x14ac:dyDescent="0.25">
      <c r="A223" s="4">
        <v>2029</v>
      </c>
      <c r="B223" s="79">
        <v>0.09</v>
      </c>
      <c r="C223" s="79">
        <v>9.1999999999999998E-2</v>
      </c>
      <c r="D223" s="79">
        <v>0.10299999999999999</v>
      </c>
      <c r="E223" s="79">
        <v>0.1</v>
      </c>
      <c r="F223" s="79">
        <v>6.2E-2</v>
      </c>
      <c r="G223" s="79">
        <v>6.2E-2</v>
      </c>
      <c r="H223" s="45"/>
      <c r="I223" s="45"/>
      <c r="J223" s="45"/>
      <c r="K223" s="45"/>
      <c r="L223" s="45"/>
      <c r="M223" s="4"/>
      <c r="N223" s="3"/>
      <c r="O223" s="3"/>
      <c r="P223" s="3"/>
      <c r="Q223" s="3"/>
      <c r="R223" s="3"/>
      <c r="S223" s="3"/>
      <c r="T223" s="45"/>
      <c r="U223" s="45"/>
      <c r="V223" s="45"/>
      <c r="W223" s="45"/>
      <c r="X223" s="45"/>
      <c r="Y223" s="45"/>
      <c r="Z223" s="45"/>
      <c r="AA223" s="45"/>
      <c r="AB223" s="79">
        <v>15.352</v>
      </c>
      <c r="AC223" s="79">
        <v>21.442</v>
      </c>
      <c r="AD223" s="79">
        <v>21.442</v>
      </c>
      <c r="AE223" s="79">
        <v>21.442</v>
      </c>
      <c r="AF223" s="79">
        <v>18.236000000000001</v>
      </c>
      <c r="AG223" s="79">
        <v>18.236000000000001</v>
      </c>
      <c r="AH223" s="79">
        <v>18.236000000000001</v>
      </c>
      <c r="AI223" s="79">
        <v>21.545999999999999</v>
      </c>
      <c r="AJ223" s="79">
        <v>21.175000000000001</v>
      </c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</row>
    <row r="224" spans="1:49" x14ac:dyDescent="0.25">
      <c r="A224" s="4">
        <v>2030</v>
      </c>
      <c r="B224" s="79">
        <v>9.2999999999999999E-2</v>
      </c>
      <c r="C224" s="79">
        <v>9.6000000000000002E-2</v>
      </c>
      <c r="D224" s="79">
        <v>0.108</v>
      </c>
      <c r="E224" s="79">
        <v>0.104</v>
      </c>
      <c r="F224" s="79">
        <v>6.4000000000000001E-2</v>
      </c>
      <c r="G224" s="79">
        <v>6.4000000000000001E-2</v>
      </c>
      <c r="H224" s="45"/>
      <c r="I224" s="45"/>
      <c r="J224" s="45"/>
      <c r="K224" s="45"/>
      <c r="L224" s="45"/>
      <c r="M224" s="4"/>
      <c r="N224" s="3"/>
      <c r="O224" s="3"/>
      <c r="P224" s="3"/>
      <c r="Q224" s="3"/>
      <c r="R224" s="3"/>
      <c r="S224" s="3"/>
      <c r="T224" s="45"/>
      <c r="U224" s="45"/>
      <c r="V224" s="45"/>
      <c r="W224" s="45"/>
      <c r="X224" s="45"/>
      <c r="Y224" s="45"/>
      <c r="Z224" s="45"/>
      <c r="AA224" s="45"/>
      <c r="AB224" s="79">
        <v>15.624000000000001</v>
      </c>
      <c r="AC224" s="79">
        <v>21.821999999999999</v>
      </c>
      <c r="AD224" s="79">
        <v>21.821999999999999</v>
      </c>
      <c r="AE224" s="79">
        <v>21.821999999999999</v>
      </c>
      <c r="AF224" s="79">
        <v>18.559000000000001</v>
      </c>
      <c r="AG224" s="79">
        <v>18.559000000000001</v>
      </c>
      <c r="AH224" s="79">
        <v>18.559000000000001</v>
      </c>
      <c r="AI224" s="79">
        <v>21.928000000000001</v>
      </c>
      <c r="AJ224" s="79">
        <v>21.55</v>
      </c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</row>
    <row r="225" spans="1:49" x14ac:dyDescent="0.25">
      <c r="A225" s="4">
        <v>2031</v>
      </c>
      <c r="B225" s="79">
        <v>8.4000000000000005E-2</v>
      </c>
      <c r="C225" s="79">
        <v>8.5999999999999993E-2</v>
      </c>
      <c r="D225" s="79">
        <v>9.8000000000000004E-2</v>
      </c>
      <c r="E225" s="79">
        <v>9.2999999999999999E-2</v>
      </c>
      <c r="F225" s="79">
        <v>5.6000000000000001E-2</v>
      </c>
      <c r="G225" s="79">
        <v>5.6000000000000001E-2</v>
      </c>
      <c r="H225" s="45"/>
      <c r="I225" s="45"/>
      <c r="J225" s="45"/>
      <c r="K225" s="45"/>
      <c r="L225" s="45"/>
      <c r="M225" s="4"/>
      <c r="N225" s="3"/>
      <c r="O225" s="3"/>
      <c r="P225" s="3"/>
      <c r="Q225" s="3"/>
      <c r="R225" s="3"/>
      <c r="S225" s="3"/>
      <c r="T225" s="45"/>
      <c r="U225" s="45"/>
      <c r="V225" s="45"/>
      <c r="W225" s="45"/>
      <c r="X225" s="45"/>
      <c r="Y225" s="45"/>
      <c r="Z225" s="45"/>
      <c r="AA225" s="45"/>
      <c r="AB225" s="79">
        <v>15.896000000000001</v>
      </c>
      <c r="AC225" s="79">
        <v>22.202000000000002</v>
      </c>
      <c r="AD225" s="79">
        <v>22.202000000000002</v>
      </c>
      <c r="AE225" s="79">
        <v>22.202000000000002</v>
      </c>
      <c r="AF225" s="79">
        <v>18.882000000000001</v>
      </c>
      <c r="AG225" s="79">
        <v>18.882000000000001</v>
      </c>
      <c r="AH225" s="79">
        <v>18.882000000000001</v>
      </c>
      <c r="AI225" s="79">
        <v>22.309000000000001</v>
      </c>
      <c r="AJ225" s="79">
        <v>21.925000000000001</v>
      </c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</row>
    <row r="226" spans="1:49" x14ac:dyDescent="0.25">
      <c r="A226" s="4">
        <v>2032</v>
      </c>
      <c r="B226" s="79">
        <v>7.3999999999999996E-2</v>
      </c>
      <c r="C226" s="79">
        <v>7.5999999999999998E-2</v>
      </c>
      <c r="D226" s="79">
        <v>8.6999999999999994E-2</v>
      </c>
      <c r="E226" s="79">
        <v>8.2000000000000003E-2</v>
      </c>
      <c r="F226" s="79">
        <v>4.8000000000000001E-2</v>
      </c>
      <c r="G226" s="79">
        <v>4.8000000000000001E-2</v>
      </c>
      <c r="H226" s="45"/>
      <c r="I226" s="45"/>
      <c r="J226" s="45"/>
      <c r="K226" s="45"/>
      <c r="L226" s="45"/>
      <c r="M226" s="4"/>
      <c r="N226" s="3"/>
      <c r="O226" s="3"/>
      <c r="P226" s="3"/>
      <c r="Q226" s="3"/>
      <c r="R226" s="3"/>
      <c r="S226" s="3"/>
      <c r="T226" s="45"/>
      <c r="U226" s="45"/>
      <c r="V226" s="45"/>
      <c r="W226" s="45"/>
      <c r="X226" s="45"/>
      <c r="Y226" s="45"/>
      <c r="Z226" s="45"/>
      <c r="AA226" s="45"/>
      <c r="AB226" s="79">
        <v>16.100000000000001</v>
      </c>
      <c r="AC226" s="79">
        <v>22.486999999999998</v>
      </c>
      <c r="AD226" s="79">
        <v>22.486999999999998</v>
      </c>
      <c r="AE226" s="79">
        <v>22.486999999999998</v>
      </c>
      <c r="AF226" s="79">
        <v>19.125</v>
      </c>
      <c r="AG226" s="79">
        <v>19.125</v>
      </c>
      <c r="AH226" s="79">
        <v>19.125</v>
      </c>
      <c r="AI226" s="79">
        <v>22.596</v>
      </c>
      <c r="AJ226" s="79">
        <v>22.207000000000001</v>
      </c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</row>
    <row r="227" spans="1:49" x14ac:dyDescent="0.25">
      <c r="A227" s="4">
        <v>2033</v>
      </c>
      <c r="B227" s="79">
        <v>6.3E-2</v>
      </c>
      <c r="C227" s="79">
        <v>6.5000000000000002E-2</v>
      </c>
      <c r="D227" s="79">
        <v>7.5999999999999998E-2</v>
      </c>
      <c r="E227" s="79">
        <v>7.0999999999999994E-2</v>
      </c>
      <c r="F227" s="79">
        <v>3.9E-2</v>
      </c>
      <c r="G227" s="79">
        <v>3.9E-2</v>
      </c>
      <c r="H227" s="45"/>
      <c r="I227" s="45"/>
      <c r="J227" s="45"/>
      <c r="K227" s="45"/>
      <c r="L227" s="45"/>
      <c r="M227" s="4"/>
      <c r="N227" s="3"/>
      <c r="O227" s="3"/>
      <c r="P227" s="3"/>
      <c r="Q227" s="3"/>
      <c r="R227" s="3"/>
      <c r="S227" s="3"/>
      <c r="T227" s="45"/>
      <c r="U227" s="45"/>
      <c r="V227" s="45"/>
      <c r="W227" s="45"/>
      <c r="X227" s="45"/>
      <c r="Y227" s="45"/>
      <c r="Z227" s="45"/>
      <c r="AA227" s="45"/>
      <c r="AB227" s="79">
        <v>16.370999999999999</v>
      </c>
      <c r="AC227" s="79">
        <v>22.867000000000001</v>
      </c>
      <c r="AD227" s="79">
        <v>22.867000000000001</v>
      </c>
      <c r="AE227" s="79">
        <v>22.867000000000001</v>
      </c>
      <c r="AF227" s="79">
        <v>19.448</v>
      </c>
      <c r="AG227" s="79">
        <v>19.448</v>
      </c>
      <c r="AH227" s="79">
        <v>19.448</v>
      </c>
      <c r="AI227" s="79">
        <v>22.977</v>
      </c>
      <c r="AJ227" s="79">
        <v>22.582000000000001</v>
      </c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</row>
    <row r="228" spans="1:49" x14ac:dyDescent="0.25">
      <c r="A228" s="4">
        <v>2034</v>
      </c>
      <c r="B228" s="79">
        <v>5.2999999999999999E-2</v>
      </c>
      <c r="C228" s="79">
        <v>5.5E-2</v>
      </c>
      <c r="D228" s="79">
        <v>6.4000000000000001E-2</v>
      </c>
      <c r="E228" s="79">
        <v>5.8999999999999997E-2</v>
      </c>
      <c r="F228" s="79">
        <v>0.03</v>
      </c>
      <c r="G228" s="79">
        <v>0.03</v>
      </c>
      <c r="H228" s="45"/>
      <c r="I228" s="45"/>
      <c r="J228" s="45"/>
      <c r="K228" s="45"/>
      <c r="L228" s="45"/>
      <c r="M228" s="4"/>
      <c r="N228" s="3"/>
      <c r="O228" s="3"/>
      <c r="P228" s="3"/>
      <c r="Q228" s="3"/>
      <c r="R228" s="3"/>
      <c r="S228" s="3"/>
      <c r="T228" s="45"/>
      <c r="U228" s="45"/>
      <c r="V228" s="45"/>
      <c r="W228" s="45"/>
      <c r="X228" s="45"/>
      <c r="Y228" s="45"/>
      <c r="Z228" s="45"/>
      <c r="AA228" s="45"/>
      <c r="AB228" s="79">
        <v>16.643000000000001</v>
      </c>
      <c r="AC228" s="79">
        <v>23.247</v>
      </c>
      <c r="AD228" s="79">
        <v>23.247</v>
      </c>
      <c r="AE228" s="79">
        <v>23.247</v>
      </c>
      <c r="AF228" s="79">
        <v>19.771000000000001</v>
      </c>
      <c r="AG228" s="79">
        <v>19.771000000000001</v>
      </c>
      <c r="AH228" s="79">
        <v>19.771000000000001</v>
      </c>
      <c r="AI228" s="79">
        <v>23.359000000000002</v>
      </c>
      <c r="AJ228" s="79">
        <v>22.957000000000001</v>
      </c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</row>
    <row r="229" spans="1:49" x14ac:dyDescent="0.25">
      <c r="A229" s="4">
        <v>2035</v>
      </c>
      <c r="B229" s="79">
        <v>4.2000000000000003E-2</v>
      </c>
      <c r="C229" s="79">
        <v>4.2999999999999997E-2</v>
      </c>
      <c r="D229" s="79">
        <v>5.1999999999999998E-2</v>
      </c>
      <c r="E229" s="79">
        <v>4.5999999999999999E-2</v>
      </c>
      <c r="F229" s="79">
        <v>2.1000000000000001E-2</v>
      </c>
      <c r="G229" s="79">
        <v>2.1000000000000001E-2</v>
      </c>
      <c r="H229" s="45"/>
      <c r="I229" s="45"/>
      <c r="J229" s="45"/>
      <c r="K229" s="45"/>
      <c r="L229" s="45"/>
      <c r="M229" s="4"/>
      <c r="N229" s="3"/>
      <c r="O229" s="3"/>
      <c r="P229" s="3"/>
      <c r="Q229" s="3"/>
      <c r="R229" s="3"/>
      <c r="S229" s="3"/>
      <c r="T229" s="45"/>
      <c r="U229" s="45"/>
      <c r="V229" s="45"/>
      <c r="W229" s="45"/>
      <c r="X229" s="45"/>
      <c r="Y229" s="45"/>
      <c r="Z229" s="45"/>
      <c r="AA229" s="45"/>
      <c r="AB229" s="79">
        <v>16.847000000000001</v>
      </c>
      <c r="AC229" s="79">
        <v>23.532</v>
      </c>
      <c r="AD229" s="79">
        <v>23.532</v>
      </c>
      <c r="AE229" s="79">
        <v>23.532</v>
      </c>
      <c r="AF229" s="79">
        <v>20.013000000000002</v>
      </c>
      <c r="AG229" s="79">
        <v>20.013000000000002</v>
      </c>
      <c r="AH229" s="79">
        <v>20.013000000000002</v>
      </c>
      <c r="AI229" s="79">
        <v>23.646000000000001</v>
      </c>
      <c r="AJ229" s="79">
        <v>23.239000000000001</v>
      </c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</row>
    <row r="230" spans="1:49" x14ac:dyDescent="0.25">
      <c r="A230" s="4">
        <v>2036</v>
      </c>
      <c r="B230" s="79">
        <v>4.1000000000000002E-2</v>
      </c>
      <c r="C230" s="79">
        <v>4.2000000000000003E-2</v>
      </c>
      <c r="D230" s="79">
        <v>4.9000000000000002E-2</v>
      </c>
      <c r="E230" s="79">
        <v>4.3999999999999997E-2</v>
      </c>
      <c r="F230" s="79">
        <v>0.02</v>
      </c>
      <c r="G230" s="79">
        <v>0.02</v>
      </c>
      <c r="H230" s="45"/>
      <c r="I230" s="45"/>
      <c r="J230" s="45"/>
      <c r="K230" s="45"/>
      <c r="L230" s="45"/>
      <c r="M230" s="4"/>
      <c r="N230" s="3"/>
      <c r="O230" s="3"/>
      <c r="P230" s="3"/>
      <c r="Q230" s="3"/>
      <c r="R230" s="3"/>
      <c r="S230" s="3"/>
      <c r="T230" s="45"/>
      <c r="U230" s="45"/>
      <c r="V230" s="45"/>
      <c r="W230" s="45"/>
      <c r="X230" s="45"/>
      <c r="Y230" s="45"/>
      <c r="Z230" s="45"/>
      <c r="AA230" s="45"/>
      <c r="AB230" s="79">
        <v>17.119</v>
      </c>
      <c r="AC230" s="79">
        <v>23.911000000000001</v>
      </c>
      <c r="AD230" s="79">
        <v>23.911000000000001</v>
      </c>
      <c r="AE230" s="79">
        <v>23.911000000000001</v>
      </c>
      <c r="AF230" s="79">
        <v>20.335999999999999</v>
      </c>
      <c r="AG230" s="79">
        <v>20.335999999999999</v>
      </c>
      <c r="AH230" s="79">
        <v>20.335999999999999</v>
      </c>
      <c r="AI230" s="79">
        <v>24.027000000000001</v>
      </c>
      <c r="AJ230" s="79">
        <v>23.614000000000001</v>
      </c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</row>
    <row r="231" spans="1:49" x14ac:dyDescent="0.25">
      <c r="A231" s="4">
        <v>2037</v>
      </c>
      <c r="B231" s="79">
        <v>0.04</v>
      </c>
      <c r="C231" s="79">
        <v>0.04</v>
      </c>
      <c r="D231" s="79">
        <v>4.5999999999999999E-2</v>
      </c>
      <c r="E231" s="79">
        <v>4.1000000000000002E-2</v>
      </c>
      <c r="F231" s="79">
        <v>0.02</v>
      </c>
      <c r="G231" s="79">
        <v>0.02</v>
      </c>
      <c r="H231" s="45"/>
      <c r="I231" s="45"/>
      <c r="J231" s="45"/>
      <c r="K231" s="45"/>
      <c r="L231" s="45"/>
      <c r="M231" s="4"/>
      <c r="N231" s="3"/>
      <c r="O231" s="3"/>
      <c r="P231" s="3"/>
      <c r="Q231" s="3"/>
      <c r="R231" s="3"/>
      <c r="S231" s="3"/>
      <c r="T231" s="45"/>
      <c r="U231" s="45"/>
      <c r="V231" s="45"/>
      <c r="W231" s="45"/>
      <c r="X231" s="45"/>
      <c r="Y231" s="45"/>
      <c r="Z231" s="45"/>
      <c r="AA231" s="45"/>
      <c r="AB231" s="79">
        <v>17.390999999999998</v>
      </c>
      <c r="AC231" s="79">
        <v>24.291</v>
      </c>
      <c r="AD231" s="79">
        <v>24.291</v>
      </c>
      <c r="AE231" s="79">
        <v>24.291</v>
      </c>
      <c r="AF231" s="79">
        <v>20.658999999999999</v>
      </c>
      <c r="AG231" s="79">
        <v>20.658999999999999</v>
      </c>
      <c r="AH231" s="79">
        <v>20.658999999999999</v>
      </c>
      <c r="AI231" s="79">
        <v>24.408999999999999</v>
      </c>
      <c r="AJ231" s="79">
        <v>23.989000000000001</v>
      </c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</row>
    <row r="232" spans="1:49" x14ac:dyDescent="0.25">
      <c r="A232" s="4">
        <v>2038</v>
      </c>
      <c r="B232" s="79">
        <v>3.9E-2</v>
      </c>
      <c r="C232" s="79">
        <v>3.7999999999999999E-2</v>
      </c>
      <c r="D232" s="79">
        <v>4.2000000000000003E-2</v>
      </c>
      <c r="E232" s="79">
        <v>3.7999999999999999E-2</v>
      </c>
      <c r="F232" s="79">
        <v>0.02</v>
      </c>
      <c r="G232" s="79">
        <v>0.02</v>
      </c>
      <c r="H232" s="45"/>
      <c r="I232" s="45"/>
      <c r="J232" s="45"/>
      <c r="K232" s="45"/>
      <c r="L232" s="45"/>
      <c r="M232" s="4"/>
      <c r="N232" s="3"/>
      <c r="O232" s="3"/>
      <c r="P232" s="3"/>
      <c r="Q232" s="3"/>
      <c r="R232" s="3"/>
      <c r="S232" s="3"/>
      <c r="T232" s="45"/>
      <c r="U232" s="45"/>
      <c r="V232" s="45"/>
      <c r="W232" s="45"/>
      <c r="X232" s="45"/>
      <c r="Y232" s="45"/>
      <c r="Z232" s="45"/>
      <c r="AA232" s="45"/>
      <c r="AB232" s="79">
        <v>17.594999999999999</v>
      </c>
      <c r="AC232" s="79">
        <v>24.576000000000001</v>
      </c>
      <c r="AD232" s="79">
        <v>24.576000000000001</v>
      </c>
      <c r="AE232" s="79">
        <v>24.576000000000001</v>
      </c>
      <c r="AF232" s="79">
        <v>20.902000000000001</v>
      </c>
      <c r="AG232" s="79">
        <v>20.902000000000001</v>
      </c>
      <c r="AH232" s="79">
        <v>20.902000000000001</v>
      </c>
      <c r="AI232" s="79">
        <v>24.695</v>
      </c>
      <c r="AJ232" s="79">
        <v>24.27</v>
      </c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</row>
    <row r="233" spans="1:49" x14ac:dyDescent="0.25">
      <c r="A233" s="4">
        <v>2039</v>
      </c>
      <c r="B233" s="79">
        <v>3.7999999999999999E-2</v>
      </c>
      <c r="C233" s="79">
        <v>3.5999999999999997E-2</v>
      </c>
      <c r="D233" s="79">
        <v>3.9E-2</v>
      </c>
      <c r="E233" s="79">
        <v>3.5000000000000003E-2</v>
      </c>
      <c r="F233" s="79">
        <v>1.9E-2</v>
      </c>
      <c r="G233" s="79">
        <v>1.9E-2</v>
      </c>
      <c r="H233" s="45"/>
      <c r="I233" s="45"/>
      <c r="J233" s="45"/>
      <c r="K233" s="45"/>
      <c r="L233" s="45"/>
      <c r="M233" s="4"/>
      <c r="N233" s="3"/>
      <c r="O233" s="3"/>
      <c r="P233" s="3"/>
      <c r="Q233" s="3"/>
      <c r="R233" s="3"/>
      <c r="S233" s="3"/>
      <c r="T233" s="45"/>
      <c r="U233" s="45"/>
      <c r="V233" s="45"/>
      <c r="W233" s="45"/>
      <c r="X233" s="45"/>
      <c r="Y233" s="45"/>
      <c r="Z233" s="45"/>
      <c r="AA233" s="45"/>
      <c r="AB233" s="79">
        <v>17.866</v>
      </c>
      <c r="AC233" s="79">
        <v>24.956</v>
      </c>
      <c r="AD233" s="79">
        <v>24.956</v>
      </c>
      <c r="AE233" s="79">
        <v>24.956</v>
      </c>
      <c r="AF233" s="79">
        <v>21.225000000000001</v>
      </c>
      <c r="AG233" s="79">
        <v>21.225000000000001</v>
      </c>
      <c r="AH233" s="79">
        <v>21.225000000000001</v>
      </c>
      <c r="AI233" s="79">
        <v>25.077000000000002</v>
      </c>
      <c r="AJ233" s="79">
        <v>24.645</v>
      </c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</row>
    <row r="234" spans="1:49" x14ac:dyDescent="0.25">
      <c r="A234" s="4">
        <v>2040</v>
      </c>
      <c r="B234" s="79">
        <v>3.6999999999999998E-2</v>
      </c>
      <c r="C234" s="79">
        <v>3.5000000000000003E-2</v>
      </c>
      <c r="D234" s="79">
        <v>3.5000000000000003E-2</v>
      </c>
      <c r="E234" s="79">
        <v>3.3000000000000002E-2</v>
      </c>
      <c r="F234" s="79">
        <v>1.9E-2</v>
      </c>
      <c r="G234" s="79">
        <v>1.9E-2</v>
      </c>
      <c r="H234" s="45"/>
      <c r="I234" s="45"/>
      <c r="J234" s="45"/>
      <c r="K234" s="45"/>
      <c r="L234" s="45"/>
      <c r="M234" s="4"/>
      <c r="N234" s="3"/>
      <c r="O234" s="3"/>
      <c r="P234" s="3"/>
      <c r="Q234" s="3"/>
      <c r="R234" s="3"/>
      <c r="S234" s="3"/>
      <c r="T234" s="45"/>
      <c r="U234" s="45"/>
      <c r="V234" s="45"/>
      <c r="W234" s="45"/>
      <c r="X234" s="45"/>
      <c r="Y234" s="45"/>
      <c r="Z234" s="45"/>
      <c r="AA234" s="45"/>
      <c r="AB234" s="79">
        <v>18.138000000000002</v>
      </c>
      <c r="AC234" s="79">
        <v>25.335999999999999</v>
      </c>
      <c r="AD234" s="79">
        <v>25.335999999999999</v>
      </c>
      <c r="AE234" s="79">
        <v>25.335999999999999</v>
      </c>
      <c r="AF234" s="79">
        <v>21.547999999999998</v>
      </c>
      <c r="AG234" s="79">
        <v>21.547999999999998</v>
      </c>
      <c r="AH234" s="79">
        <v>21.547999999999998</v>
      </c>
      <c r="AI234" s="79">
        <v>25.457999999999998</v>
      </c>
      <c r="AJ234" s="79">
        <v>25.02</v>
      </c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</row>
    <row r="235" spans="1:49" x14ac:dyDescent="0.25">
      <c r="A235" s="4">
        <v>2041</v>
      </c>
      <c r="B235" s="79">
        <v>3.5999999999999997E-2</v>
      </c>
      <c r="C235" s="79">
        <v>3.4000000000000002E-2</v>
      </c>
      <c r="D235" s="79">
        <v>3.5000000000000003E-2</v>
      </c>
      <c r="E235" s="79">
        <v>3.3000000000000002E-2</v>
      </c>
      <c r="F235" s="79">
        <v>1.7999999999999999E-2</v>
      </c>
      <c r="G235" s="79">
        <v>1.7999999999999999E-2</v>
      </c>
      <c r="H235" s="45"/>
      <c r="I235" s="45"/>
      <c r="J235" s="45"/>
      <c r="K235" s="45"/>
      <c r="L235" s="45"/>
      <c r="M235" s="4"/>
      <c r="N235" s="3"/>
      <c r="O235" s="3"/>
      <c r="P235" s="3"/>
      <c r="Q235" s="3"/>
      <c r="R235" s="3"/>
      <c r="S235" s="3"/>
      <c r="T235" s="45"/>
      <c r="U235" s="45"/>
      <c r="V235" s="45"/>
      <c r="W235" s="45"/>
      <c r="X235" s="45"/>
      <c r="Y235" s="45"/>
      <c r="Z235" s="45"/>
      <c r="AA235" s="45"/>
      <c r="AB235" s="79">
        <v>18.41</v>
      </c>
      <c r="AC235" s="79">
        <v>25.716000000000001</v>
      </c>
      <c r="AD235" s="79">
        <v>25.716000000000001</v>
      </c>
      <c r="AE235" s="79">
        <v>25.716000000000001</v>
      </c>
      <c r="AF235" s="79">
        <v>21.870999999999999</v>
      </c>
      <c r="AG235" s="79">
        <v>21.870999999999999</v>
      </c>
      <c r="AH235" s="79">
        <v>21.870999999999999</v>
      </c>
      <c r="AI235" s="79">
        <v>25.84</v>
      </c>
      <c r="AJ235" s="79">
        <v>25.396000000000001</v>
      </c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</row>
    <row r="236" spans="1:49" x14ac:dyDescent="0.25">
      <c r="A236" s="4">
        <v>2042</v>
      </c>
      <c r="B236" s="79">
        <v>3.5000000000000003E-2</v>
      </c>
      <c r="C236" s="79">
        <v>3.3000000000000002E-2</v>
      </c>
      <c r="D236" s="79">
        <v>3.5000000000000003E-2</v>
      </c>
      <c r="E236" s="79">
        <v>3.3000000000000002E-2</v>
      </c>
      <c r="F236" s="79">
        <v>1.7999999999999999E-2</v>
      </c>
      <c r="G236" s="79">
        <v>1.7999999999999999E-2</v>
      </c>
      <c r="H236" s="45"/>
      <c r="I236" s="45"/>
      <c r="J236" s="45"/>
      <c r="K236" s="45"/>
      <c r="L236" s="45"/>
      <c r="M236" s="4"/>
      <c r="N236" s="3"/>
      <c r="O236" s="3"/>
      <c r="P236" s="3"/>
      <c r="Q236" s="3"/>
      <c r="R236" s="3"/>
      <c r="S236" s="3"/>
      <c r="T236" s="45"/>
      <c r="U236" s="45"/>
      <c r="V236" s="45"/>
      <c r="W236" s="45"/>
      <c r="X236" s="45"/>
      <c r="Y236" s="45"/>
      <c r="Z236" s="45"/>
      <c r="AA236" s="45"/>
      <c r="AB236" s="79">
        <v>18.681999999999999</v>
      </c>
      <c r="AC236" s="79">
        <v>26.096</v>
      </c>
      <c r="AD236" s="79">
        <v>26.096</v>
      </c>
      <c r="AE236" s="79">
        <v>26.096</v>
      </c>
      <c r="AF236" s="79">
        <v>22.193999999999999</v>
      </c>
      <c r="AG236" s="79">
        <v>22.193999999999999</v>
      </c>
      <c r="AH236" s="79">
        <v>22.193999999999999</v>
      </c>
      <c r="AI236" s="79">
        <v>26.222000000000001</v>
      </c>
      <c r="AJ236" s="79">
        <v>25.771000000000001</v>
      </c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</row>
    <row r="237" spans="1:49" x14ac:dyDescent="0.25">
      <c r="A237" s="4">
        <v>2043</v>
      </c>
      <c r="B237" s="79">
        <v>3.4000000000000002E-2</v>
      </c>
      <c r="C237" s="79">
        <v>3.2000000000000001E-2</v>
      </c>
      <c r="D237" s="79">
        <v>3.5000000000000003E-2</v>
      </c>
      <c r="E237" s="79">
        <v>3.2000000000000001E-2</v>
      </c>
      <c r="F237" s="79">
        <v>1.7000000000000001E-2</v>
      </c>
      <c r="G237" s="79">
        <v>1.7000000000000001E-2</v>
      </c>
      <c r="H237" s="45"/>
      <c r="I237" s="45"/>
      <c r="J237" s="45"/>
      <c r="K237" s="45"/>
      <c r="L237" s="45"/>
      <c r="M237" s="4"/>
      <c r="N237" s="3"/>
      <c r="O237" s="3"/>
      <c r="P237" s="3"/>
      <c r="Q237" s="3"/>
      <c r="R237" s="3"/>
      <c r="S237" s="3"/>
      <c r="T237" s="45"/>
      <c r="U237" s="45"/>
      <c r="V237" s="45"/>
      <c r="W237" s="45"/>
      <c r="X237" s="45"/>
      <c r="Y237" s="45"/>
      <c r="Z237" s="45"/>
      <c r="AA237" s="45"/>
      <c r="AB237" s="79">
        <v>18.954000000000001</v>
      </c>
      <c r="AC237" s="79">
        <v>26.475999999999999</v>
      </c>
      <c r="AD237" s="79">
        <v>26.475999999999999</v>
      </c>
      <c r="AE237" s="79">
        <v>26.475999999999999</v>
      </c>
      <c r="AF237" s="79">
        <v>22.516999999999999</v>
      </c>
      <c r="AG237" s="79">
        <v>22.516999999999999</v>
      </c>
      <c r="AH237" s="79">
        <v>22.516999999999999</v>
      </c>
      <c r="AI237" s="79">
        <v>26.603999999999999</v>
      </c>
      <c r="AJ237" s="79">
        <v>26.146000000000001</v>
      </c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</row>
    <row r="238" spans="1:49" x14ac:dyDescent="0.25">
      <c r="A238" s="4">
        <v>2044</v>
      </c>
      <c r="B238" s="79">
        <v>3.3000000000000002E-2</v>
      </c>
      <c r="C238" s="79">
        <v>3.1E-2</v>
      </c>
      <c r="D238" s="79">
        <v>3.5999999999999997E-2</v>
      </c>
      <c r="E238" s="79">
        <v>3.2000000000000001E-2</v>
      </c>
      <c r="F238" s="79">
        <v>1.6E-2</v>
      </c>
      <c r="G238" s="79">
        <v>1.6E-2</v>
      </c>
      <c r="H238" s="45"/>
      <c r="I238" s="45"/>
      <c r="J238" s="45"/>
      <c r="K238" s="45"/>
      <c r="L238" s="45"/>
      <c r="M238" s="4"/>
      <c r="N238" s="3"/>
      <c r="O238" s="3"/>
      <c r="P238" s="3"/>
      <c r="Q238" s="3"/>
      <c r="R238" s="3"/>
      <c r="S238" s="3"/>
      <c r="T238" s="45"/>
      <c r="U238" s="45"/>
      <c r="V238" s="45"/>
      <c r="W238" s="45"/>
      <c r="X238" s="45"/>
      <c r="Y238" s="45"/>
      <c r="Z238" s="45"/>
      <c r="AA238" s="45"/>
      <c r="AB238" s="79">
        <v>19.225000000000001</v>
      </c>
      <c r="AC238" s="79">
        <v>26.856000000000002</v>
      </c>
      <c r="AD238" s="79">
        <v>26.856000000000002</v>
      </c>
      <c r="AE238" s="79">
        <v>26.856000000000002</v>
      </c>
      <c r="AF238" s="79">
        <v>22.841000000000001</v>
      </c>
      <c r="AG238" s="79">
        <v>22.841000000000001</v>
      </c>
      <c r="AH238" s="79">
        <v>22.841000000000001</v>
      </c>
      <c r="AI238" s="79">
        <v>26.984999999999999</v>
      </c>
      <c r="AJ238" s="79">
        <v>26.521000000000001</v>
      </c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</row>
    <row r="239" spans="1:49" x14ac:dyDescent="0.25">
      <c r="A239" s="4">
        <v>2045</v>
      </c>
      <c r="B239" s="79">
        <v>3.2000000000000001E-2</v>
      </c>
      <c r="C239" s="79">
        <v>2.9000000000000001E-2</v>
      </c>
      <c r="D239" s="79">
        <v>3.5999999999999997E-2</v>
      </c>
      <c r="E239" s="79">
        <v>3.2000000000000001E-2</v>
      </c>
      <c r="F239" s="79">
        <v>1.4999999999999999E-2</v>
      </c>
      <c r="G239" s="79">
        <v>1.4999999999999999E-2</v>
      </c>
      <c r="H239" s="45"/>
      <c r="I239" s="45"/>
      <c r="J239" s="45"/>
      <c r="K239" s="45"/>
      <c r="L239" s="45"/>
      <c r="M239" s="4"/>
      <c r="N239" s="3"/>
      <c r="O239" s="3"/>
      <c r="P239" s="3"/>
      <c r="Q239" s="3"/>
      <c r="R239" s="3"/>
      <c r="S239" s="3"/>
      <c r="T239" s="45"/>
      <c r="U239" s="45"/>
      <c r="V239" s="45"/>
      <c r="W239" s="45"/>
      <c r="X239" s="45"/>
      <c r="Y239" s="45"/>
      <c r="Z239" s="45"/>
      <c r="AA239" s="45"/>
      <c r="AB239" s="79">
        <v>19.497</v>
      </c>
      <c r="AC239" s="79">
        <v>27.234999999999999</v>
      </c>
      <c r="AD239" s="79">
        <v>27.234999999999999</v>
      </c>
      <c r="AE239" s="79">
        <v>27.234999999999999</v>
      </c>
      <c r="AF239" s="79">
        <v>23.164000000000001</v>
      </c>
      <c r="AG239" s="79">
        <v>23.164000000000001</v>
      </c>
      <c r="AH239" s="79">
        <v>23.164000000000001</v>
      </c>
      <c r="AI239" s="79">
        <v>27.367000000000001</v>
      </c>
      <c r="AJ239" s="79">
        <v>26.896000000000001</v>
      </c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</row>
    <row r="240" spans="1:49" x14ac:dyDescent="0.25">
      <c r="A240" s="4">
        <v>2046</v>
      </c>
      <c r="B240" s="79">
        <v>3.2000000000000001E-2</v>
      </c>
      <c r="C240" s="79">
        <v>2.9000000000000001E-2</v>
      </c>
      <c r="D240" s="79">
        <v>3.5999999999999997E-2</v>
      </c>
      <c r="E240" s="79">
        <v>3.2000000000000001E-2</v>
      </c>
      <c r="F240" s="79">
        <v>1.4999999999999999E-2</v>
      </c>
      <c r="G240" s="79">
        <v>1.4999999999999999E-2</v>
      </c>
      <c r="H240" s="45"/>
      <c r="I240" s="45"/>
      <c r="J240" s="45"/>
      <c r="K240" s="45"/>
      <c r="L240" s="45"/>
      <c r="M240" s="4"/>
      <c r="N240" s="3"/>
      <c r="O240" s="3"/>
      <c r="P240" s="3"/>
      <c r="Q240" s="3"/>
      <c r="R240" s="3"/>
      <c r="S240" s="3"/>
      <c r="T240" s="45"/>
      <c r="U240" s="45"/>
      <c r="V240" s="45"/>
      <c r="W240" s="45"/>
      <c r="X240" s="45"/>
      <c r="Y240" s="45"/>
      <c r="Z240" s="45"/>
      <c r="AA240" s="45"/>
      <c r="AB240" s="79">
        <v>19.768999999999998</v>
      </c>
      <c r="AC240" s="79">
        <v>27.614999999999998</v>
      </c>
      <c r="AD240" s="79">
        <v>27.614999999999998</v>
      </c>
      <c r="AE240" s="79">
        <v>27.614999999999998</v>
      </c>
      <c r="AF240" s="79">
        <v>23.486999999999998</v>
      </c>
      <c r="AG240" s="79">
        <v>23.486999999999998</v>
      </c>
      <c r="AH240" s="79">
        <v>23.486999999999998</v>
      </c>
      <c r="AI240" s="79">
        <v>27.748999999999999</v>
      </c>
      <c r="AJ240" s="79">
        <v>27.271999999999998</v>
      </c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</row>
    <row r="241" spans="1:49" x14ac:dyDescent="0.25">
      <c r="A241" s="4">
        <v>2047</v>
      </c>
      <c r="B241" s="79">
        <v>3.1E-2</v>
      </c>
      <c r="C241" s="79">
        <v>2.9000000000000001E-2</v>
      </c>
      <c r="D241" s="79">
        <v>3.5999999999999997E-2</v>
      </c>
      <c r="E241" s="79">
        <v>3.3000000000000002E-2</v>
      </c>
      <c r="F241" s="79">
        <v>1.4999999999999999E-2</v>
      </c>
      <c r="G241" s="79">
        <v>1.4999999999999999E-2</v>
      </c>
      <c r="H241" s="45"/>
      <c r="I241" s="45"/>
      <c r="J241" s="45"/>
      <c r="K241" s="45"/>
      <c r="L241" s="45"/>
      <c r="M241" s="4"/>
      <c r="N241" s="3"/>
      <c r="O241" s="3"/>
      <c r="P241" s="3"/>
      <c r="Q241" s="3"/>
      <c r="R241" s="3"/>
      <c r="S241" s="3"/>
      <c r="T241" s="45"/>
      <c r="U241" s="45"/>
      <c r="V241" s="45"/>
      <c r="W241" s="45"/>
      <c r="X241" s="45"/>
      <c r="Y241" s="45"/>
      <c r="Z241" s="45"/>
      <c r="AA241" s="45"/>
      <c r="AB241" s="79">
        <v>20.109000000000002</v>
      </c>
      <c r="AC241" s="79">
        <v>28.09</v>
      </c>
      <c r="AD241" s="79">
        <v>28.09</v>
      </c>
      <c r="AE241" s="79">
        <v>28.09</v>
      </c>
      <c r="AF241" s="79">
        <v>23.89</v>
      </c>
      <c r="AG241" s="79">
        <v>23.89</v>
      </c>
      <c r="AH241" s="79">
        <v>23.89</v>
      </c>
      <c r="AI241" s="79">
        <v>28.225999999999999</v>
      </c>
      <c r="AJ241" s="79">
        <v>27.74</v>
      </c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</row>
    <row r="242" spans="1:49" x14ac:dyDescent="0.25">
      <c r="A242" s="4">
        <v>2048</v>
      </c>
      <c r="B242" s="79">
        <v>3.1E-2</v>
      </c>
      <c r="C242" s="79">
        <v>2.9000000000000001E-2</v>
      </c>
      <c r="D242" s="79">
        <v>3.5999999999999997E-2</v>
      </c>
      <c r="E242" s="79">
        <v>3.3000000000000002E-2</v>
      </c>
      <c r="F242" s="79">
        <v>1.4999999999999999E-2</v>
      </c>
      <c r="G242" s="79">
        <v>1.4999999999999999E-2</v>
      </c>
      <c r="H242" s="45"/>
      <c r="I242" s="45"/>
      <c r="J242" s="45"/>
      <c r="K242" s="45"/>
      <c r="L242" s="45"/>
      <c r="M242" s="4"/>
      <c r="N242" s="3"/>
      <c r="O242" s="3"/>
      <c r="P242" s="3"/>
      <c r="Q242" s="3"/>
      <c r="R242" s="3"/>
      <c r="S242" s="3"/>
      <c r="T242" s="45"/>
      <c r="U242" s="45"/>
      <c r="V242" s="45"/>
      <c r="W242" s="45"/>
      <c r="X242" s="45"/>
      <c r="Y242" s="45"/>
      <c r="Z242" s="45"/>
      <c r="AA242" s="45"/>
      <c r="AB242" s="79">
        <v>20.381</v>
      </c>
      <c r="AC242" s="79">
        <v>28.47</v>
      </c>
      <c r="AD242" s="79">
        <v>28.47</v>
      </c>
      <c r="AE242" s="79">
        <v>28.47</v>
      </c>
      <c r="AF242" s="79">
        <v>24.213999999999999</v>
      </c>
      <c r="AG242" s="79">
        <v>24.213999999999999</v>
      </c>
      <c r="AH242" s="79">
        <v>24.213999999999999</v>
      </c>
      <c r="AI242" s="79">
        <v>28.608000000000001</v>
      </c>
      <c r="AJ242" s="79">
        <v>28.114999999999998</v>
      </c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</row>
    <row r="243" spans="1:49" x14ac:dyDescent="0.25">
      <c r="A243" s="4">
        <v>2049</v>
      </c>
      <c r="B243" s="79">
        <v>0.03</v>
      </c>
      <c r="C243" s="79">
        <v>2.8000000000000001E-2</v>
      </c>
      <c r="D243" s="79">
        <v>3.5999999999999997E-2</v>
      </c>
      <c r="E243" s="79">
        <v>3.3000000000000002E-2</v>
      </c>
      <c r="F243" s="79">
        <v>1.4999999999999999E-2</v>
      </c>
      <c r="G243" s="79">
        <v>1.4999999999999999E-2</v>
      </c>
      <c r="H243" s="45"/>
      <c r="I243" s="45"/>
      <c r="J243" s="45"/>
      <c r="K243" s="45"/>
      <c r="L243" s="45"/>
      <c r="M243" s="4"/>
      <c r="N243" s="3"/>
      <c r="O243" s="3"/>
      <c r="P243" s="3"/>
      <c r="Q243" s="3"/>
      <c r="R243" s="3"/>
      <c r="S243" s="3"/>
      <c r="T243" s="45"/>
      <c r="U243" s="45"/>
      <c r="V243" s="45"/>
      <c r="W243" s="45"/>
      <c r="X243" s="45"/>
      <c r="Y243" s="45"/>
      <c r="Z243" s="45"/>
      <c r="AA243" s="45"/>
      <c r="AB243" s="79">
        <v>20.652000000000001</v>
      </c>
      <c r="AC243" s="79">
        <v>28.85</v>
      </c>
      <c r="AD243" s="79">
        <v>28.85</v>
      </c>
      <c r="AE243" s="79">
        <v>28.85</v>
      </c>
      <c r="AF243" s="79">
        <v>24.536999999999999</v>
      </c>
      <c r="AG243" s="79">
        <v>24.536999999999999</v>
      </c>
      <c r="AH243" s="79">
        <v>24.536999999999999</v>
      </c>
      <c r="AI243" s="79">
        <v>28.989000000000001</v>
      </c>
      <c r="AJ243" s="79">
        <v>28.491</v>
      </c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</row>
    <row r="244" spans="1:49" x14ac:dyDescent="0.25">
      <c r="A244" s="4">
        <v>2050</v>
      </c>
      <c r="B244" s="79">
        <v>2.9000000000000001E-2</v>
      </c>
      <c r="C244" s="79">
        <v>2.8000000000000001E-2</v>
      </c>
      <c r="D244" s="79">
        <v>3.6999999999999998E-2</v>
      </c>
      <c r="E244" s="79">
        <v>3.3000000000000002E-2</v>
      </c>
      <c r="F244" s="79">
        <v>1.4999999999999999E-2</v>
      </c>
      <c r="G244" s="79">
        <v>1.4999999999999999E-2</v>
      </c>
      <c r="H244" s="45"/>
      <c r="I244" s="45"/>
      <c r="J244" s="45"/>
      <c r="K244" s="45"/>
      <c r="L244" s="45"/>
      <c r="M244" s="4"/>
      <c r="N244" s="3"/>
      <c r="O244" s="3"/>
      <c r="P244" s="3"/>
      <c r="Q244" s="3"/>
      <c r="R244" s="3"/>
      <c r="S244" s="3"/>
      <c r="T244" s="45"/>
      <c r="U244" s="45"/>
      <c r="V244" s="45"/>
      <c r="W244" s="45"/>
      <c r="X244" s="45"/>
      <c r="Y244" s="45"/>
      <c r="Z244" s="45"/>
      <c r="AA244" s="45"/>
      <c r="AB244" s="79">
        <v>20.923999999999999</v>
      </c>
      <c r="AC244" s="79">
        <v>29.23</v>
      </c>
      <c r="AD244" s="79">
        <v>29.23</v>
      </c>
      <c r="AE244" s="79">
        <v>29.23</v>
      </c>
      <c r="AF244" s="79">
        <v>24.86</v>
      </c>
      <c r="AG244" s="79">
        <v>24.86</v>
      </c>
      <c r="AH244" s="79">
        <v>24.86</v>
      </c>
      <c r="AI244" s="79">
        <v>29.370999999999999</v>
      </c>
      <c r="AJ244" s="79">
        <v>28.866</v>
      </c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</row>
    <row r="245" spans="1:49" x14ac:dyDescent="0.25">
      <c r="A245" s="4">
        <v>2051</v>
      </c>
      <c r="B245" s="79">
        <v>2.9000000000000001E-2</v>
      </c>
      <c r="C245" s="79">
        <v>2.8000000000000001E-2</v>
      </c>
      <c r="D245" s="79">
        <v>3.6999999999999998E-2</v>
      </c>
      <c r="E245" s="79">
        <v>3.3000000000000002E-2</v>
      </c>
      <c r="F245" s="79">
        <v>1.4999999999999999E-2</v>
      </c>
      <c r="G245" s="79">
        <v>1.4999999999999999E-2</v>
      </c>
      <c r="H245" s="45"/>
      <c r="I245" s="45"/>
      <c r="J245" s="45"/>
      <c r="K245" s="45"/>
      <c r="L245" s="45"/>
      <c r="M245" s="4"/>
      <c r="N245" s="3"/>
      <c r="O245" s="3"/>
      <c r="P245" s="3"/>
      <c r="Q245" s="3"/>
      <c r="R245" s="3"/>
      <c r="S245" s="3"/>
      <c r="T245" s="45"/>
      <c r="U245" s="45"/>
      <c r="V245" s="45"/>
      <c r="W245" s="45"/>
      <c r="X245" s="45"/>
      <c r="Y245" s="45"/>
      <c r="Z245" s="45"/>
      <c r="AA245" s="45"/>
      <c r="AB245" s="79">
        <v>20.923999999999999</v>
      </c>
      <c r="AC245" s="79">
        <v>29.23</v>
      </c>
      <c r="AD245" s="79">
        <v>29.23</v>
      </c>
      <c r="AE245" s="79">
        <v>29.23</v>
      </c>
      <c r="AF245" s="79">
        <v>24.86</v>
      </c>
      <c r="AG245" s="79">
        <v>24.86</v>
      </c>
      <c r="AH245" s="79">
        <v>24.86</v>
      </c>
      <c r="AI245" s="79">
        <v>29.370999999999999</v>
      </c>
      <c r="AJ245" s="79">
        <v>28.866</v>
      </c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</row>
    <row r="246" spans="1:49" x14ac:dyDescent="0.25">
      <c r="A246" s="4">
        <v>2052</v>
      </c>
      <c r="B246" s="79">
        <v>2.9000000000000001E-2</v>
      </c>
      <c r="C246" s="79">
        <v>2.8000000000000001E-2</v>
      </c>
      <c r="D246" s="79">
        <v>3.6999999999999998E-2</v>
      </c>
      <c r="E246" s="79">
        <v>3.3000000000000002E-2</v>
      </c>
      <c r="F246" s="79">
        <v>1.4999999999999999E-2</v>
      </c>
      <c r="G246" s="79">
        <v>1.4999999999999999E-2</v>
      </c>
      <c r="H246" s="45"/>
      <c r="I246" s="45"/>
      <c r="J246" s="45"/>
      <c r="K246" s="45"/>
      <c r="L246" s="45"/>
      <c r="M246" s="4"/>
      <c r="N246" s="3"/>
      <c r="O246" s="3"/>
      <c r="P246" s="3"/>
      <c r="Q246" s="3"/>
      <c r="R246" s="3"/>
      <c r="S246" s="3"/>
      <c r="T246" s="45"/>
      <c r="U246" s="45"/>
      <c r="V246" s="45"/>
      <c r="W246" s="45"/>
      <c r="X246" s="45"/>
      <c r="Y246" s="45"/>
      <c r="Z246" s="45"/>
      <c r="AA246" s="45"/>
      <c r="AB246" s="79">
        <v>20.923999999999999</v>
      </c>
      <c r="AC246" s="79">
        <v>29.23</v>
      </c>
      <c r="AD246" s="79">
        <v>29.23</v>
      </c>
      <c r="AE246" s="79">
        <v>29.23</v>
      </c>
      <c r="AF246" s="79">
        <v>24.86</v>
      </c>
      <c r="AG246" s="79">
        <v>24.86</v>
      </c>
      <c r="AH246" s="79">
        <v>24.86</v>
      </c>
      <c r="AI246" s="79">
        <v>29.370999999999999</v>
      </c>
      <c r="AJ246" s="79">
        <v>28.866</v>
      </c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</row>
    <row r="247" spans="1:49" x14ac:dyDescent="0.25">
      <c r="A247" s="4">
        <v>2053</v>
      </c>
      <c r="B247" s="79">
        <v>2.9000000000000001E-2</v>
      </c>
      <c r="C247" s="79">
        <v>2.8000000000000001E-2</v>
      </c>
      <c r="D247" s="79">
        <v>3.6999999999999998E-2</v>
      </c>
      <c r="E247" s="79">
        <v>3.3000000000000002E-2</v>
      </c>
      <c r="F247" s="79">
        <v>1.4999999999999999E-2</v>
      </c>
      <c r="G247" s="79">
        <v>1.4999999999999999E-2</v>
      </c>
      <c r="H247" s="45"/>
      <c r="I247" s="45"/>
      <c r="J247" s="45"/>
      <c r="K247" s="45"/>
      <c r="L247" s="45"/>
      <c r="M247" s="4"/>
      <c r="N247" s="3"/>
      <c r="O247" s="3"/>
      <c r="P247" s="3"/>
      <c r="Q247" s="3"/>
      <c r="R247" s="3"/>
      <c r="S247" s="3"/>
      <c r="T247" s="45"/>
      <c r="U247" s="45"/>
      <c r="V247" s="45"/>
      <c r="W247" s="45"/>
      <c r="X247" s="45"/>
      <c r="Y247" s="45"/>
      <c r="Z247" s="45"/>
      <c r="AA247" s="45"/>
      <c r="AB247" s="79">
        <v>20.923999999999999</v>
      </c>
      <c r="AC247" s="79">
        <v>29.23</v>
      </c>
      <c r="AD247" s="79">
        <v>29.23</v>
      </c>
      <c r="AE247" s="79">
        <v>29.23</v>
      </c>
      <c r="AF247" s="79">
        <v>24.86</v>
      </c>
      <c r="AG247" s="79">
        <v>24.86</v>
      </c>
      <c r="AH247" s="79">
        <v>24.86</v>
      </c>
      <c r="AI247" s="79">
        <v>29.370999999999999</v>
      </c>
      <c r="AJ247" s="79">
        <v>28.866</v>
      </c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</row>
    <row r="248" spans="1:49" x14ac:dyDescent="0.25">
      <c r="A248" s="4">
        <v>2054</v>
      </c>
      <c r="B248" s="79">
        <v>2.9000000000000001E-2</v>
      </c>
      <c r="C248" s="79">
        <v>2.8000000000000001E-2</v>
      </c>
      <c r="D248" s="79">
        <v>3.6999999999999998E-2</v>
      </c>
      <c r="E248" s="79">
        <v>3.3000000000000002E-2</v>
      </c>
      <c r="F248" s="79">
        <v>1.4999999999999999E-2</v>
      </c>
      <c r="G248" s="79">
        <v>1.4999999999999999E-2</v>
      </c>
      <c r="H248" s="45"/>
      <c r="I248" s="45"/>
      <c r="J248" s="45"/>
      <c r="K248" s="45"/>
      <c r="L248" s="45"/>
      <c r="M248" s="4"/>
      <c r="N248" s="3"/>
      <c r="O248" s="3"/>
      <c r="P248" s="3"/>
      <c r="Q248" s="3"/>
      <c r="R248" s="3"/>
      <c r="S248" s="3"/>
      <c r="T248" s="45"/>
      <c r="U248" s="45"/>
      <c r="V248" s="45"/>
      <c r="W248" s="45"/>
      <c r="X248" s="45"/>
      <c r="Y248" s="45"/>
      <c r="Z248" s="45"/>
      <c r="AA248" s="45"/>
      <c r="AB248" s="79">
        <v>20.923999999999999</v>
      </c>
      <c r="AC248" s="79">
        <v>29.23</v>
      </c>
      <c r="AD248" s="79">
        <v>29.23</v>
      </c>
      <c r="AE248" s="79">
        <v>29.23</v>
      </c>
      <c r="AF248" s="79">
        <v>24.86</v>
      </c>
      <c r="AG248" s="79">
        <v>24.86</v>
      </c>
      <c r="AH248" s="79">
        <v>24.86</v>
      </c>
      <c r="AI248" s="79">
        <v>29.370999999999999</v>
      </c>
      <c r="AJ248" s="79">
        <v>28.866</v>
      </c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</row>
    <row r="249" spans="1:49" x14ac:dyDescent="0.25">
      <c r="A249" s="4">
        <v>2055</v>
      </c>
      <c r="B249" s="79">
        <v>2.9000000000000001E-2</v>
      </c>
      <c r="C249" s="79">
        <v>2.8000000000000001E-2</v>
      </c>
      <c r="D249" s="79">
        <v>3.6999999999999998E-2</v>
      </c>
      <c r="E249" s="79">
        <v>3.3000000000000002E-2</v>
      </c>
      <c r="F249" s="79">
        <v>1.4999999999999999E-2</v>
      </c>
      <c r="G249" s="79">
        <v>1.4999999999999999E-2</v>
      </c>
      <c r="H249" s="45"/>
      <c r="I249" s="45"/>
      <c r="J249" s="45"/>
      <c r="K249" s="45"/>
      <c r="L249" s="45"/>
      <c r="M249" s="4"/>
      <c r="N249" s="3"/>
      <c r="O249" s="3"/>
      <c r="P249" s="3"/>
      <c r="Q249" s="3"/>
      <c r="R249" s="3"/>
      <c r="S249" s="3"/>
      <c r="T249" s="45"/>
      <c r="U249" s="45"/>
      <c r="V249" s="45"/>
      <c r="W249" s="45"/>
      <c r="X249" s="45"/>
      <c r="Y249" s="45"/>
      <c r="Z249" s="45"/>
      <c r="AA249" s="45"/>
      <c r="AB249" s="79">
        <v>20.923999999999999</v>
      </c>
      <c r="AC249" s="79">
        <v>29.23</v>
      </c>
      <c r="AD249" s="79">
        <v>29.23</v>
      </c>
      <c r="AE249" s="79">
        <v>29.23</v>
      </c>
      <c r="AF249" s="79">
        <v>24.86</v>
      </c>
      <c r="AG249" s="79">
        <v>24.86</v>
      </c>
      <c r="AH249" s="79">
        <v>24.86</v>
      </c>
      <c r="AI249" s="79">
        <v>29.370999999999999</v>
      </c>
      <c r="AJ249" s="79">
        <v>28.866</v>
      </c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</row>
    <row r="250" spans="1:49" x14ac:dyDescent="0.25">
      <c r="A250" s="4">
        <v>2056</v>
      </c>
      <c r="B250" s="79">
        <v>2.9000000000000001E-2</v>
      </c>
      <c r="C250" s="79">
        <v>2.8000000000000001E-2</v>
      </c>
      <c r="D250" s="79">
        <v>3.6999999999999998E-2</v>
      </c>
      <c r="E250" s="79">
        <v>3.3000000000000002E-2</v>
      </c>
      <c r="F250" s="79">
        <v>1.4999999999999999E-2</v>
      </c>
      <c r="G250" s="79">
        <v>1.4999999999999999E-2</v>
      </c>
      <c r="H250" s="45"/>
      <c r="I250" s="45"/>
      <c r="J250" s="45"/>
      <c r="K250" s="45"/>
      <c r="L250" s="45"/>
      <c r="M250" s="4"/>
      <c r="N250" s="3"/>
      <c r="O250" s="3"/>
      <c r="P250" s="3"/>
      <c r="Q250" s="3"/>
      <c r="R250" s="3"/>
      <c r="S250" s="3"/>
      <c r="T250" s="45"/>
      <c r="U250" s="45"/>
      <c r="V250" s="45"/>
      <c r="W250" s="45"/>
      <c r="X250" s="45"/>
      <c r="Y250" s="45"/>
      <c r="Z250" s="45"/>
      <c r="AA250" s="45"/>
      <c r="AB250" s="79">
        <v>20.923999999999999</v>
      </c>
      <c r="AC250" s="79">
        <v>29.23</v>
      </c>
      <c r="AD250" s="79">
        <v>29.23</v>
      </c>
      <c r="AE250" s="79">
        <v>29.23</v>
      </c>
      <c r="AF250" s="79">
        <v>24.86</v>
      </c>
      <c r="AG250" s="79">
        <v>24.86</v>
      </c>
      <c r="AH250" s="79">
        <v>24.86</v>
      </c>
      <c r="AI250" s="79">
        <v>29.370999999999999</v>
      </c>
      <c r="AJ250" s="79">
        <v>28.866</v>
      </c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</row>
    <row r="251" spans="1:49" x14ac:dyDescent="0.25">
      <c r="A251" s="4">
        <v>2057</v>
      </c>
      <c r="B251" s="79">
        <v>2.9000000000000001E-2</v>
      </c>
      <c r="C251" s="79">
        <v>2.8000000000000001E-2</v>
      </c>
      <c r="D251" s="79">
        <v>3.6999999999999998E-2</v>
      </c>
      <c r="E251" s="79">
        <v>3.3000000000000002E-2</v>
      </c>
      <c r="F251" s="79">
        <v>1.4999999999999999E-2</v>
      </c>
      <c r="G251" s="79">
        <v>1.4999999999999999E-2</v>
      </c>
      <c r="H251" s="45"/>
      <c r="I251" s="45"/>
      <c r="J251" s="45"/>
      <c r="K251" s="45"/>
      <c r="L251" s="45"/>
      <c r="M251" s="4"/>
      <c r="N251" s="3"/>
      <c r="O251" s="3"/>
      <c r="P251" s="3"/>
      <c r="Q251" s="3"/>
      <c r="R251" s="3"/>
      <c r="S251" s="3"/>
      <c r="T251" s="45"/>
      <c r="U251" s="45"/>
      <c r="V251" s="45"/>
      <c r="W251" s="45"/>
      <c r="X251" s="45"/>
      <c r="Y251" s="45"/>
      <c r="Z251" s="45"/>
      <c r="AA251" s="45"/>
      <c r="AB251" s="79">
        <v>20.923999999999999</v>
      </c>
      <c r="AC251" s="79">
        <v>29.23</v>
      </c>
      <c r="AD251" s="79">
        <v>29.23</v>
      </c>
      <c r="AE251" s="79">
        <v>29.23</v>
      </c>
      <c r="AF251" s="79">
        <v>24.86</v>
      </c>
      <c r="AG251" s="79">
        <v>24.86</v>
      </c>
      <c r="AH251" s="79">
        <v>24.86</v>
      </c>
      <c r="AI251" s="79">
        <v>29.370999999999999</v>
      </c>
      <c r="AJ251" s="79">
        <v>28.866</v>
      </c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</row>
    <row r="252" spans="1:49" x14ac:dyDescent="0.25">
      <c r="A252" s="4">
        <v>2058</v>
      </c>
      <c r="B252" s="79">
        <v>2.9000000000000001E-2</v>
      </c>
      <c r="C252" s="79">
        <v>2.8000000000000001E-2</v>
      </c>
      <c r="D252" s="79">
        <v>3.6999999999999998E-2</v>
      </c>
      <c r="E252" s="79">
        <v>3.3000000000000002E-2</v>
      </c>
      <c r="F252" s="79">
        <v>1.4999999999999999E-2</v>
      </c>
      <c r="G252" s="79">
        <v>1.4999999999999999E-2</v>
      </c>
      <c r="H252" s="45"/>
      <c r="I252" s="45"/>
      <c r="J252" s="45"/>
      <c r="K252" s="45"/>
      <c r="L252" s="45"/>
      <c r="M252" s="4"/>
      <c r="N252" s="3"/>
      <c r="O252" s="3"/>
      <c r="P252" s="3"/>
      <c r="Q252" s="3"/>
      <c r="R252" s="3"/>
      <c r="S252" s="3"/>
      <c r="T252" s="45"/>
      <c r="U252" s="45"/>
      <c r="V252" s="45"/>
      <c r="W252" s="45"/>
      <c r="X252" s="45"/>
      <c r="Y252" s="45"/>
      <c r="Z252" s="45"/>
      <c r="AA252" s="45"/>
      <c r="AB252" s="79">
        <v>20.923999999999999</v>
      </c>
      <c r="AC252" s="79">
        <v>29.23</v>
      </c>
      <c r="AD252" s="79">
        <v>29.23</v>
      </c>
      <c r="AE252" s="79">
        <v>29.23</v>
      </c>
      <c r="AF252" s="79">
        <v>24.86</v>
      </c>
      <c r="AG252" s="79">
        <v>24.86</v>
      </c>
      <c r="AH252" s="79">
        <v>24.86</v>
      </c>
      <c r="AI252" s="79">
        <v>29.370999999999999</v>
      </c>
      <c r="AJ252" s="79">
        <v>28.866</v>
      </c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</row>
    <row r="253" spans="1:49" x14ac:dyDescent="0.25">
      <c r="A253" s="4">
        <v>2059</v>
      </c>
      <c r="B253" s="79">
        <v>2.9000000000000001E-2</v>
      </c>
      <c r="C253" s="79">
        <v>2.8000000000000001E-2</v>
      </c>
      <c r="D253" s="79">
        <v>3.6999999999999998E-2</v>
      </c>
      <c r="E253" s="79">
        <v>3.3000000000000002E-2</v>
      </c>
      <c r="F253" s="79">
        <v>1.4999999999999999E-2</v>
      </c>
      <c r="G253" s="79">
        <v>1.4999999999999999E-2</v>
      </c>
      <c r="H253" s="45"/>
      <c r="I253" s="45"/>
      <c r="J253" s="45"/>
      <c r="K253" s="45"/>
      <c r="L253" s="45"/>
      <c r="M253" s="4"/>
      <c r="N253" s="3"/>
      <c r="O253" s="3"/>
      <c r="P253" s="3"/>
      <c r="Q253" s="3"/>
      <c r="R253" s="3"/>
      <c r="S253" s="3"/>
      <c r="T253" s="45"/>
      <c r="U253" s="45"/>
      <c r="V253" s="45"/>
      <c r="W253" s="45"/>
      <c r="X253" s="45"/>
      <c r="Y253" s="45"/>
      <c r="Z253" s="45"/>
      <c r="AA253" s="45"/>
      <c r="AB253" s="79">
        <v>20.923999999999999</v>
      </c>
      <c r="AC253" s="79">
        <v>29.23</v>
      </c>
      <c r="AD253" s="79">
        <v>29.23</v>
      </c>
      <c r="AE253" s="79">
        <v>29.23</v>
      </c>
      <c r="AF253" s="79">
        <v>24.86</v>
      </c>
      <c r="AG253" s="79">
        <v>24.86</v>
      </c>
      <c r="AH253" s="79">
        <v>24.86</v>
      </c>
      <c r="AI253" s="79">
        <v>29.370999999999999</v>
      </c>
      <c r="AJ253" s="79">
        <v>28.866</v>
      </c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</row>
    <row r="254" spans="1:49" x14ac:dyDescent="0.25">
      <c r="A254" s="4">
        <v>2060</v>
      </c>
      <c r="B254" s="79">
        <v>2.9000000000000001E-2</v>
      </c>
      <c r="C254" s="79">
        <v>2.8000000000000001E-2</v>
      </c>
      <c r="D254" s="79">
        <v>3.6999999999999998E-2</v>
      </c>
      <c r="E254" s="79">
        <v>3.3000000000000002E-2</v>
      </c>
      <c r="F254" s="79">
        <v>1.4999999999999999E-2</v>
      </c>
      <c r="G254" s="79">
        <v>1.4999999999999999E-2</v>
      </c>
      <c r="H254" s="45"/>
      <c r="I254" s="45"/>
      <c r="J254" s="45"/>
      <c r="K254" s="45"/>
      <c r="L254" s="45"/>
      <c r="M254" s="4"/>
      <c r="N254" s="3"/>
      <c r="O254" s="3"/>
      <c r="P254" s="3"/>
      <c r="Q254" s="3"/>
      <c r="R254" s="3"/>
      <c r="S254" s="3"/>
      <c r="T254" s="45"/>
      <c r="U254" s="45"/>
      <c r="V254" s="45"/>
      <c r="W254" s="45"/>
      <c r="X254" s="45"/>
      <c r="Y254" s="45"/>
      <c r="Z254" s="45"/>
      <c r="AA254" s="45"/>
      <c r="AB254" s="79">
        <v>20.923999999999999</v>
      </c>
      <c r="AC254" s="79">
        <v>29.23</v>
      </c>
      <c r="AD254" s="79">
        <v>29.23</v>
      </c>
      <c r="AE254" s="79">
        <v>29.23</v>
      </c>
      <c r="AF254" s="79">
        <v>24.86</v>
      </c>
      <c r="AG254" s="79">
        <v>24.86</v>
      </c>
      <c r="AH254" s="79">
        <v>24.86</v>
      </c>
      <c r="AI254" s="79">
        <v>29.370999999999999</v>
      </c>
      <c r="AJ254" s="79">
        <v>28.866</v>
      </c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</row>
    <row r="255" spans="1:49" x14ac:dyDescent="0.25">
      <c r="A255" s="4">
        <v>2061</v>
      </c>
      <c r="B255" s="79">
        <v>2.9000000000000001E-2</v>
      </c>
      <c r="C255" s="79">
        <v>2.8000000000000001E-2</v>
      </c>
      <c r="D255" s="79">
        <v>3.6999999999999998E-2</v>
      </c>
      <c r="E255" s="79">
        <v>3.3000000000000002E-2</v>
      </c>
      <c r="F255" s="79">
        <v>1.4999999999999999E-2</v>
      </c>
      <c r="G255" s="79">
        <v>1.4999999999999999E-2</v>
      </c>
      <c r="H255" s="45"/>
      <c r="I255" s="45"/>
      <c r="J255" s="45"/>
      <c r="K255" s="45"/>
      <c r="L255" s="45"/>
      <c r="M255" s="4"/>
      <c r="N255" s="3"/>
      <c r="O255" s="3"/>
      <c r="P255" s="3"/>
      <c r="Q255" s="3"/>
      <c r="R255" s="3"/>
      <c r="S255" s="3"/>
      <c r="T255" s="45"/>
      <c r="U255" s="45"/>
      <c r="V255" s="45"/>
      <c r="W255" s="45"/>
      <c r="X255" s="45"/>
      <c r="Y255" s="45"/>
      <c r="Z255" s="45"/>
      <c r="AA255" s="45"/>
      <c r="AB255" s="79">
        <v>20.923999999999999</v>
      </c>
      <c r="AC255" s="79">
        <v>29.23</v>
      </c>
      <c r="AD255" s="79">
        <v>29.23</v>
      </c>
      <c r="AE255" s="79">
        <v>29.23</v>
      </c>
      <c r="AF255" s="79">
        <v>24.86</v>
      </c>
      <c r="AG255" s="79">
        <v>24.86</v>
      </c>
      <c r="AH255" s="79">
        <v>24.86</v>
      </c>
      <c r="AI255" s="79">
        <v>29.370999999999999</v>
      </c>
      <c r="AJ255" s="79">
        <v>28.866</v>
      </c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</row>
    <row r="256" spans="1:49" x14ac:dyDescent="0.25">
      <c r="A256" s="4">
        <v>2062</v>
      </c>
      <c r="B256" s="79">
        <v>2.9000000000000001E-2</v>
      </c>
      <c r="C256" s="79">
        <v>2.8000000000000001E-2</v>
      </c>
      <c r="D256" s="79">
        <v>3.6999999999999998E-2</v>
      </c>
      <c r="E256" s="79">
        <v>3.3000000000000002E-2</v>
      </c>
      <c r="F256" s="79">
        <v>1.4999999999999999E-2</v>
      </c>
      <c r="G256" s="79">
        <v>1.4999999999999999E-2</v>
      </c>
      <c r="H256" s="45"/>
      <c r="I256" s="45"/>
      <c r="J256" s="45"/>
      <c r="K256" s="45"/>
      <c r="L256" s="45"/>
      <c r="M256" s="4"/>
      <c r="N256" s="3"/>
      <c r="O256" s="3"/>
      <c r="P256" s="3"/>
      <c r="Q256" s="3"/>
      <c r="R256" s="3"/>
      <c r="S256" s="3"/>
      <c r="T256" s="45"/>
      <c r="U256" s="45"/>
      <c r="V256" s="45"/>
      <c r="W256" s="45"/>
      <c r="X256" s="45"/>
      <c r="Y256" s="45"/>
      <c r="Z256" s="45"/>
      <c r="AA256" s="45"/>
      <c r="AB256" s="79">
        <v>20.923999999999999</v>
      </c>
      <c r="AC256" s="79">
        <v>29.23</v>
      </c>
      <c r="AD256" s="79">
        <v>29.23</v>
      </c>
      <c r="AE256" s="79">
        <v>29.23</v>
      </c>
      <c r="AF256" s="79">
        <v>24.86</v>
      </c>
      <c r="AG256" s="79">
        <v>24.86</v>
      </c>
      <c r="AH256" s="79">
        <v>24.86</v>
      </c>
      <c r="AI256" s="79">
        <v>29.370999999999999</v>
      </c>
      <c r="AJ256" s="79">
        <v>28.866</v>
      </c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</row>
    <row r="257" spans="1:49" x14ac:dyDescent="0.25">
      <c r="A257" s="4">
        <v>2063</v>
      </c>
      <c r="B257" s="79">
        <v>2.9000000000000001E-2</v>
      </c>
      <c r="C257" s="79">
        <v>2.8000000000000001E-2</v>
      </c>
      <c r="D257" s="79">
        <v>3.6999999999999998E-2</v>
      </c>
      <c r="E257" s="79">
        <v>3.3000000000000002E-2</v>
      </c>
      <c r="F257" s="79">
        <v>1.4999999999999999E-2</v>
      </c>
      <c r="G257" s="79">
        <v>1.4999999999999999E-2</v>
      </c>
      <c r="H257" s="45"/>
      <c r="I257" s="45"/>
      <c r="J257" s="45"/>
      <c r="K257" s="45"/>
      <c r="L257" s="45"/>
      <c r="M257" s="4"/>
      <c r="N257" s="3"/>
      <c r="O257" s="3"/>
      <c r="P257" s="3"/>
      <c r="Q257" s="3"/>
      <c r="R257" s="3"/>
      <c r="S257" s="3"/>
      <c r="T257" s="45"/>
      <c r="U257" s="45"/>
      <c r="V257" s="45"/>
      <c r="W257" s="45"/>
      <c r="X257" s="45"/>
      <c r="Y257" s="45"/>
      <c r="Z257" s="45"/>
      <c r="AA257" s="45"/>
      <c r="AB257" s="79">
        <v>20.923999999999999</v>
      </c>
      <c r="AC257" s="79">
        <v>29.23</v>
      </c>
      <c r="AD257" s="79">
        <v>29.23</v>
      </c>
      <c r="AE257" s="79">
        <v>29.23</v>
      </c>
      <c r="AF257" s="79">
        <v>24.86</v>
      </c>
      <c r="AG257" s="79">
        <v>24.86</v>
      </c>
      <c r="AH257" s="79">
        <v>24.86</v>
      </c>
      <c r="AI257" s="79">
        <v>29.370999999999999</v>
      </c>
      <c r="AJ257" s="79">
        <v>28.866</v>
      </c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</row>
    <row r="258" spans="1:49" x14ac:dyDescent="0.25">
      <c r="A258" s="4">
        <v>2064</v>
      </c>
      <c r="B258" s="79">
        <v>2.9000000000000001E-2</v>
      </c>
      <c r="C258" s="79">
        <v>2.8000000000000001E-2</v>
      </c>
      <c r="D258" s="79">
        <v>3.6999999999999998E-2</v>
      </c>
      <c r="E258" s="79">
        <v>3.3000000000000002E-2</v>
      </c>
      <c r="F258" s="79">
        <v>1.4999999999999999E-2</v>
      </c>
      <c r="G258" s="79">
        <v>1.4999999999999999E-2</v>
      </c>
      <c r="H258" s="45"/>
      <c r="I258" s="45"/>
      <c r="J258" s="45"/>
      <c r="K258" s="45"/>
      <c r="L258" s="45"/>
      <c r="M258" s="4"/>
      <c r="N258" s="3"/>
      <c r="O258" s="3"/>
      <c r="P258" s="3"/>
      <c r="Q258" s="3"/>
      <c r="R258" s="3"/>
      <c r="S258" s="3"/>
      <c r="T258" s="45"/>
      <c r="U258" s="45"/>
      <c r="V258" s="45"/>
      <c r="W258" s="45"/>
      <c r="X258" s="45"/>
      <c r="Y258" s="45"/>
      <c r="Z258" s="45"/>
      <c r="AA258" s="45"/>
      <c r="AB258" s="79">
        <v>20.923999999999999</v>
      </c>
      <c r="AC258" s="79">
        <v>29.23</v>
      </c>
      <c r="AD258" s="79">
        <v>29.23</v>
      </c>
      <c r="AE258" s="79">
        <v>29.23</v>
      </c>
      <c r="AF258" s="79">
        <v>24.86</v>
      </c>
      <c r="AG258" s="79">
        <v>24.86</v>
      </c>
      <c r="AH258" s="79">
        <v>24.86</v>
      </c>
      <c r="AI258" s="79">
        <v>29.370999999999999</v>
      </c>
      <c r="AJ258" s="79">
        <v>28.866</v>
      </c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</row>
    <row r="259" spans="1:49" x14ac:dyDescent="0.25">
      <c r="A259" s="4">
        <v>2065</v>
      </c>
      <c r="B259" s="79">
        <v>2.9000000000000001E-2</v>
      </c>
      <c r="C259" s="79">
        <v>2.8000000000000001E-2</v>
      </c>
      <c r="D259" s="79">
        <v>3.6999999999999998E-2</v>
      </c>
      <c r="E259" s="79">
        <v>3.3000000000000002E-2</v>
      </c>
      <c r="F259" s="79">
        <v>1.4999999999999999E-2</v>
      </c>
      <c r="G259" s="79">
        <v>1.4999999999999999E-2</v>
      </c>
      <c r="H259" s="45"/>
      <c r="I259" s="45"/>
      <c r="J259" s="45"/>
      <c r="K259" s="45"/>
      <c r="L259" s="45"/>
      <c r="M259" s="4"/>
      <c r="N259" s="3"/>
      <c r="O259" s="3"/>
      <c r="P259" s="3"/>
      <c r="Q259" s="3"/>
      <c r="R259" s="3"/>
      <c r="S259" s="3"/>
      <c r="T259" s="45"/>
      <c r="U259" s="45"/>
      <c r="V259" s="45"/>
      <c r="W259" s="45"/>
      <c r="X259" s="45"/>
      <c r="Y259" s="45"/>
      <c r="Z259" s="45"/>
      <c r="AA259" s="45"/>
      <c r="AB259" s="79">
        <v>20.923999999999999</v>
      </c>
      <c r="AC259" s="79">
        <v>29.23</v>
      </c>
      <c r="AD259" s="79">
        <v>29.23</v>
      </c>
      <c r="AE259" s="79">
        <v>29.23</v>
      </c>
      <c r="AF259" s="79">
        <v>24.86</v>
      </c>
      <c r="AG259" s="79">
        <v>24.86</v>
      </c>
      <c r="AH259" s="79">
        <v>24.86</v>
      </c>
      <c r="AI259" s="79">
        <v>29.370999999999999</v>
      </c>
      <c r="AJ259" s="79">
        <v>28.866</v>
      </c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</row>
    <row r="260" spans="1:49" x14ac:dyDescent="0.25">
      <c r="A260" s="4">
        <v>2066</v>
      </c>
      <c r="B260" s="79">
        <v>2.9000000000000001E-2</v>
      </c>
      <c r="C260" s="79">
        <v>2.8000000000000001E-2</v>
      </c>
      <c r="D260" s="79">
        <v>3.6999999999999998E-2</v>
      </c>
      <c r="E260" s="79">
        <v>3.3000000000000002E-2</v>
      </c>
      <c r="F260" s="79">
        <v>1.4999999999999999E-2</v>
      </c>
      <c r="G260" s="79">
        <v>1.4999999999999999E-2</v>
      </c>
      <c r="H260" s="45"/>
      <c r="I260" s="45"/>
      <c r="J260" s="45"/>
      <c r="K260" s="45"/>
      <c r="L260" s="45"/>
      <c r="M260" s="4"/>
      <c r="N260" s="3"/>
      <c r="O260" s="3"/>
      <c r="P260" s="3"/>
      <c r="Q260" s="3"/>
      <c r="R260" s="3"/>
      <c r="S260" s="3"/>
      <c r="T260" s="45"/>
      <c r="U260" s="45"/>
      <c r="V260" s="45"/>
      <c r="W260" s="45"/>
      <c r="X260" s="45"/>
      <c r="Y260" s="45"/>
      <c r="Z260" s="45"/>
      <c r="AA260" s="45"/>
      <c r="AB260" s="79">
        <v>20.923999999999999</v>
      </c>
      <c r="AC260" s="79">
        <v>29.23</v>
      </c>
      <c r="AD260" s="79">
        <v>29.23</v>
      </c>
      <c r="AE260" s="79">
        <v>29.23</v>
      </c>
      <c r="AF260" s="79">
        <v>24.86</v>
      </c>
      <c r="AG260" s="79">
        <v>24.86</v>
      </c>
      <c r="AH260" s="79">
        <v>24.86</v>
      </c>
      <c r="AI260" s="79">
        <v>29.370999999999999</v>
      </c>
      <c r="AJ260" s="79">
        <v>28.866</v>
      </c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</row>
    <row r="261" spans="1:49" x14ac:dyDescent="0.25">
      <c r="A261" s="4">
        <v>2067</v>
      </c>
      <c r="B261" s="79">
        <v>2.9000000000000001E-2</v>
      </c>
      <c r="C261" s="79">
        <v>2.8000000000000001E-2</v>
      </c>
      <c r="D261" s="79">
        <v>3.6999999999999998E-2</v>
      </c>
      <c r="E261" s="79">
        <v>3.3000000000000002E-2</v>
      </c>
      <c r="F261" s="79">
        <v>1.4999999999999999E-2</v>
      </c>
      <c r="G261" s="79">
        <v>1.4999999999999999E-2</v>
      </c>
      <c r="H261" s="45"/>
      <c r="I261" s="45"/>
      <c r="J261" s="45"/>
      <c r="K261" s="45"/>
      <c r="L261" s="45"/>
      <c r="M261" s="4"/>
      <c r="N261" s="3"/>
      <c r="O261" s="3"/>
      <c r="P261" s="3"/>
      <c r="Q261" s="3"/>
      <c r="R261" s="3"/>
      <c r="S261" s="3"/>
      <c r="T261" s="45"/>
      <c r="U261" s="45"/>
      <c r="V261" s="45"/>
      <c r="W261" s="45"/>
      <c r="X261" s="45"/>
      <c r="Y261" s="45"/>
      <c r="Z261" s="45"/>
      <c r="AA261" s="45"/>
      <c r="AB261" s="79">
        <v>20.923999999999999</v>
      </c>
      <c r="AC261" s="79">
        <v>29.23</v>
      </c>
      <c r="AD261" s="79">
        <v>29.23</v>
      </c>
      <c r="AE261" s="79">
        <v>29.23</v>
      </c>
      <c r="AF261" s="79">
        <v>24.86</v>
      </c>
      <c r="AG261" s="79">
        <v>24.86</v>
      </c>
      <c r="AH261" s="79">
        <v>24.86</v>
      </c>
      <c r="AI261" s="79">
        <v>29.370999999999999</v>
      </c>
      <c r="AJ261" s="79">
        <v>28.866</v>
      </c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</row>
    <row r="262" spans="1:49" x14ac:dyDescent="0.25">
      <c r="A262" s="4">
        <v>2068</v>
      </c>
      <c r="B262" s="79">
        <v>2.9000000000000001E-2</v>
      </c>
      <c r="C262" s="79">
        <v>2.8000000000000001E-2</v>
      </c>
      <c r="D262" s="79">
        <v>3.6999999999999998E-2</v>
      </c>
      <c r="E262" s="79">
        <v>3.3000000000000002E-2</v>
      </c>
      <c r="F262" s="79">
        <v>1.4999999999999999E-2</v>
      </c>
      <c r="G262" s="79">
        <v>1.4999999999999999E-2</v>
      </c>
      <c r="H262" s="45"/>
      <c r="I262" s="45"/>
      <c r="J262" s="45"/>
      <c r="K262" s="45"/>
      <c r="L262" s="45"/>
      <c r="M262" s="4"/>
      <c r="N262" s="3"/>
      <c r="O262" s="3"/>
      <c r="P262" s="3"/>
      <c r="Q262" s="3"/>
      <c r="R262" s="3"/>
      <c r="S262" s="3"/>
      <c r="T262" s="45"/>
      <c r="U262" s="45"/>
      <c r="V262" s="45"/>
      <c r="W262" s="45"/>
      <c r="X262" s="45"/>
      <c r="Y262" s="45"/>
      <c r="Z262" s="45"/>
      <c r="AA262" s="45"/>
      <c r="AB262" s="79">
        <v>20.923999999999999</v>
      </c>
      <c r="AC262" s="79">
        <v>29.23</v>
      </c>
      <c r="AD262" s="79">
        <v>29.23</v>
      </c>
      <c r="AE262" s="79">
        <v>29.23</v>
      </c>
      <c r="AF262" s="79">
        <v>24.86</v>
      </c>
      <c r="AG262" s="79">
        <v>24.86</v>
      </c>
      <c r="AH262" s="79">
        <v>24.86</v>
      </c>
      <c r="AI262" s="79">
        <v>29.370999999999999</v>
      </c>
      <c r="AJ262" s="79">
        <v>28.866</v>
      </c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</row>
    <row r="263" spans="1:49" x14ac:dyDescent="0.25">
      <c r="A263" s="4">
        <v>2069</v>
      </c>
      <c r="B263" s="79">
        <v>2.9000000000000001E-2</v>
      </c>
      <c r="C263" s="79">
        <v>2.8000000000000001E-2</v>
      </c>
      <c r="D263" s="79">
        <v>3.6999999999999998E-2</v>
      </c>
      <c r="E263" s="79">
        <v>3.3000000000000002E-2</v>
      </c>
      <c r="F263" s="79">
        <v>1.4999999999999999E-2</v>
      </c>
      <c r="G263" s="79">
        <v>1.4999999999999999E-2</v>
      </c>
      <c r="H263" s="45"/>
      <c r="I263" s="45"/>
      <c r="J263" s="45"/>
      <c r="K263" s="45"/>
      <c r="L263" s="45"/>
      <c r="M263" s="4"/>
      <c r="N263" s="3"/>
      <c r="O263" s="3"/>
      <c r="P263" s="3"/>
      <c r="Q263" s="3"/>
      <c r="R263" s="3"/>
      <c r="S263" s="3"/>
      <c r="T263" s="45"/>
      <c r="U263" s="45"/>
      <c r="V263" s="45"/>
      <c r="W263" s="45"/>
      <c r="X263" s="45"/>
      <c r="Y263" s="45"/>
      <c r="Z263" s="45"/>
      <c r="AA263" s="45"/>
      <c r="AB263" s="79">
        <v>20.923999999999999</v>
      </c>
      <c r="AC263" s="79">
        <v>29.23</v>
      </c>
      <c r="AD263" s="79">
        <v>29.23</v>
      </c>
      <c r="AE263" s="79">
        <v>29.23</v>
      </c>
      <c r="AF263" s="79">
        <v>24.86</v>
      </c>
      <c r="AG263" s="79">
        <v>24.86</v>
      </c>
      <c r="AH263" s="79">
        <v>24.86</v>
      </c>
      <c r="AI263" s="79">
        <v>29.370999999999999</v>
      </c>
      <c r="AJ263" s="79">
        <v>28.866</v>
      </c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</row>
    <row r="264" spans="1:49" x14ac:dyDescent="0.25">
      <c r="A264" s="4">
        <v>2070</v>
      </c>
      <c r="B264" s="79">
        <v>2.9000000000000001E-2</v>
      </c>
      <c r="C264" s="79">
        <v>2.8000000000000001E-2</v>
      </c>
      <c r="D264" s="79">
        <v>3.6999999999999998E-2</v>
      </c>
      <c r="E264" s="79">
        <v>3.3000000000000002E-2</v>
      </c>
      <c r="F264" s="79">
        <v>1.4999999999999999E-2</v>
      </c>
      <c r="G264" s="79">
        <v>1.4999999999999999E-2</v>
      </c>
      <c r="H264" s="45"/>
      <c r="I264" s="45"/>
      <c r="J264" s="45"/>
      <c r="K264" s="45"/>
      <c r="L264" s="45"/>
      <c r="M264" s="4"/>
      <c r="N264" s="3"/>
      <c r="O264" s="3"/>
      <c r="P264" s="3"/>
      <c r="Q264" s="3"/>
      <c r="R264" s="3"/>
      <c r="S264" s="3"/>
      <c r="T264" s="45"/>
      <c r="U264" s="45"/>
      <c r="V264" s="45"/>
      <c r="W264" s="45"/>
      <c r="X264" s="45"/>
      <c r="Y264" s="45"/>
      <c r="Z264" s="45"/>
      <c r="AA264" s="45"/>
      <c r="AB264" s="79">
        <v>20.923999999999999</v>
      </c>
      <c r="AC264" s="79">
        <v>29.23</v>
      </c>
      <c r="AD264" s="79">
        <v>29.23</v>
      </c>
      <c r="AE264" s="79">
        <v>29.23</v>
      </c>
      <c r="AF264" s="79">
        <v>24.86</v>
      </c>
      <c r="AG264" s="79">
        <v>24.86</v>
      </c>
      <c r="AH264" s="79">
        <v>24.86</v>
      </c>
      <c r="AI264" s="79">
        <v>29.370999999999999</v>
      </c>
      <c r="AJ264" s="79">
        <v>28.866</v>
      </c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</row>
    <row r="265" spans="1:49" x14ac:dyDescent="0.25">
      <c r="A265" s="4">
        <v>2071</v>
      </c>
      <c r="B265" s="79">
        <v>2.9000000000000001E-2</v>
      </c>
      <c r="C265" s="79">
        <v>2.8000000000000001E-2</v>
      </c>
      <c r="D265" s="79">
        <v>3.6999999999999998E-2</v>
      </c>
      <c r="E265" s="79">
        <v>3.3000000000000002E-2</v>
      </c>
      <c r="F265" s="79">
        <v>1.4999999999999999E-2</v>
      </c>
      <c r="G265" s="79">
        <v>1.4999999999999999E-2</v>
      </c>
      <c r="H265" s="45"/>
      <c r="I265" s="45"/>
      <c r="J265" s="45"/>
      <c r="K265" s="45"/>
      <c r="L265" s="45"/>
      <c r="M265" s="4"/>
      <c r="N265" s="3"/>
      <c r="O265" s="3"/>
      <c r="P265" s="3"/>
      <c r="Q265" s="3"/>
      <c r="R265" s="3"/>
      <c r="S265" s="3"/>
      <c r="T265" s="45"/>
      <c r="U265" s="45"/>
      <c r="V265" s="45"/>
      <c r="W265" s="45"/>
      <c r="X265" s="45"/>
      <c r="Y265" s="45"/>
      <c r="Z265" s="45"/>
      <c r="AA265" s="45"/>
      <c r="AB265" s="79">
        <v>20.923999999999999</v>
      </c>
      <c r="AC265" s="79">
        <v>29.23</v>
      </c>
      <c r="AD265" s="79">
        <v>29.23</v>
      </c>
      <c r="AE265" s="79">
        <v>29.23</v>
      </c>
      <c r="AF265" s="79">
        <v>24.86</v>
      </c>
      <c r="AG265" s="79">
        <v>24.86</v>
      </c>
      <c r="AH265" s="79">
        <v>24.86</v>
      </c>
      <c r="AI265" s="79">
        <v>29.370999999999999</v>
      </c>
      <c r="AJ265" s="79">
        <v>28.866</v>
      </c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</row>
    <row r="266" spans="1:49" x14ac:dyDescent="0.25">
      <c r="A266" s="4">
        <v>2072</v>
      </c>
      <c r="B266" s="79">
        <v>2.9000000000000001E-2</v>
      </c>
      <c r="C266" s="79">
        <v>2.8000000000000001E-2</v>
      </c>
      <c r="D266" s="79">
        <v>3.6999999999999998E-2</v>
      </c>
      <c r="E266" s="79">
        <v>3.3000000000000002E-2</v>
      </c>
      <c r="F266" s="79">
        <v>1.4999999999999999E-2</v>
      </c>
      <c r="G266" s="79">
        <v>1.4999999999999999E-2</v>
      </c>
      <c r="H266" s="45"/>
      <c r="I266" s="45"/>
      <c r="J266" s="45"/>
      <c r="K266" s="45"/>
      <c r="L266" s="45"/>
      <c r="M266" s="4"/>
      <c r="N266" s="3"/>
      <c r="O266" s="3"/>
      <c r="P266" s="3"/>
      <c r="Q266" s="3"/>
      <c r="R266" s="3"/>
      <c r="S266" s="3"/>
      <c r="T266" s="45"/>
      <c r="U266" s="45"/>
      <c r="V266" s="45"/>
      <c r="W266" s="45"/>
      <c r="X266" s="45"/>
      <c r="Y266" s="45"/>
      <c r="Z266" s="45"/>
      <c r="AA266" s="45"/>
      <c r="AB266" s="79">
        <v>20.923999999999999</v>
      </c>
      <c r="AC266" s="79">
        <v>29.23</v>
      </c>
      <c r="AD266" s="79">
        <v>29.23</v>
      </c>
      <c r="AE266" s="79">
        <v>29.23</v>
      </c>
      <c r="AF266" s="79">
        <v>24.86</v>
      </c>
      <c r="AG266" s="79">
        <v>24.86</v>
      </c>
      <c r="AH266" s="79">
        <v>24.86</v>
      </c>
      <c r="AI266" s="79">
        <v>29.370999999999999</v>
      </c>
      <c r="AJ266" s="79">
        <v>28.866</v>
      </c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</row>
    <row r="267" spans="1:49" x14ac:dyDescent="0.25">
      <c r="A267" s="4">
        <v>2073</v>
      </c>
      <c r="B267" s="79">
        <v>2.9000000000000001E-2</v>
      </c>
      <c r="C267" s="79">
        <v>2.8000000000000001E-2</v>
      </c>
      <c r="D267" s="79">
        <v>3.6999999999999998E-2</v>
      </c>
      <c r="E267" s="79">
        <v>3.3000000000000002E-2</v>
      </c>
      <c r="F267" s="79">
        <v>1.4999999999999999E-2</v>
      </c>
      <c r="G267" s="79">
        <v>1.4999999999999999E-2</v>
      </c>
      <c r="H267" s="45"/>
      <c r="I267" s="45"/>
      <c r="J267" s="45"/>
      <c r="K267" s="45"/>
      <c r="L267" s="45"/>
      <c r="M267" s="4"/>
      <c r="N267" s="3"/>
      <c r="O267" s="3"/>
      <c r="P267" s="3"/>
      <c r="Q267" s="3"/>
      <c r="R267" s="3"/>
      <c r="S267" s="3"/>
      <c r="T267" s="45"/>
      <c r="U267" s="45"/>
      <c r="V267" s="45"/>
      <c r="W267" s="45"/>
      <c r="X267" s="45"/>
      <c r="Y267" s="45"/>
      <c r="Z267" s="45"/>
      <c r="AA267" s="45"/>
      <c r="AB267" s="79">
        <v>20.923999999999999</v>
      </c>
      <c r="AC267" s="79">
        <v>29.23</v>
      </c>
      <c r="AD267" s="79">
        <v>29.23</v>
      </c>
      <c r="AE267" s="79">
        <v>29.23</v>
      </c>
      <c r="AF267" s="79">
        <v>24.86</v>
      </c>
      <c r="AG267" s="79">
        <v>24.86</v>
      </c>
      <c r="AH267" s="79">
        <v>24.86</v>
      </c>
      <c r="AI267" s="79">
        <v>29.370999999999999</v>
      </c>
      <c r="AJ267" s="79">
        <v>28.866</v>
      </c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</row>
    <row r="268" spans="1:49" x14ac:dyDescent="0.25">
      <c r="A268" s="4">
        <v>2074</v>
      </c>
      <c r="B268" s="79">
        <v>2.9000000000000001E-2</v>
      </c>
      <c r="C268" s="79">
        <v>2.8000000000000001E-2</v>
      </c>
      <c r="D268" s="79">
        <v>3.6999999999999998E-2</v>
      </c>
      <c r="E268" s="79">
        <v>3.3000000000000002E-2</v>
      </c>
      <c r="F268" s="79">
        <v>1.4999999999999999E-2</v>
      </c>
      <c r="G268" s="79">
        <v>1.4999999999999999E-2</v>
      </c>
      <c r="H268" s="45"/>
      <c r="I268" s="45"/>
      <c r="J268" s="45"/>
      <c r="K268" s="45"/>
      <c r="L268" s="45"/>
      <c r="M268" s="4"/>
      <c r="N268" s="3"/>
      <c r="O268" s="3"/>
      <c r="P268" s="3"/>
      <c r="Q268" s="3"/>
      <c r="R268" s="3"/>
      <c r="S268" s="3"/>
      <c r="T268" s="45"/>
      <c r="U268" s="45"/>
      <c r="V268" s="45"/>
      <c r="W268" s="45"/>
      <c r="X268" s="45"/>
      <c r="Y268" s="45"/>
      <c r="Z268" s="45"/>
      <c r="AA268" s="45"/>
      <c r="AB268" s="79">
        <v>20.923999999999999</v>
      </c>
      <c r="AC268" s="79">
        <v>29.23</v>
      </c>
      <c r="AD268" s="79">
        <v>29.23</v>
      </c>
      <c r="AE268" s="79">
        <v>29.23</v>
      </c>
      <c r="AF268" s="79">
        <v>24.86</v>
      </c>
      <c r="AG268" s="79">
        <v>24.86</v>
      </c>
      <c r="AH268" s="79">
        <v>24.86</v>
      </c>
      <c r="AI268" s="79">
        <v>29.370999999999999</v>
      </c>
      <c r="AJ268" s="79">
        <v>28.866</v>
      </c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</row>
    <row r="269" spans="1:49" x14ac:dyDescent="0.25">
      <c r="A269" s="4">
        <v>2075</v>
      </c>
      <c r="B269" s="79">
        <v>2.9000000000000001E-2</v>
      </c>
      <c r="C269" s="79">
        <v>2.8000000000000001E-2</v>
      </c>
      <c r="D269" s="79">
        <v>3.6999999999999998E-2</v>
      </c>
      <c r="E269" s="79">
        <v>3.3000000000000002E-2</v>
      </c>
      <c r="F269" s="79">
        <v>1.4999999999999999E-2</v>
      </c>
      <c r="G269" s="79">
        <v>1.4999999999999999E-2</v>
      </c>
      <c r="H269" s="45"/>
      <c r="I269" s="45"/>
      <c r="J269" s="45"/>
      <c r="K269" s="45"/>
      <c r="L269" s="45"/>
      <c r="M269" s="4"/>
      <c r="N269" s="3"/>
      <c r="O269" s="3"/>
      <c r="P269" s="3"/>
      <c r="Q269" s="3"/>
      <c r="R269" s="3"/>
      <c r="S269" s="3"/>
      <c r="T269" s="45"/>
      <c r="U269" s="45"/>
      <c r="V269" s="45"/>
      <c r="W269" s="45"/>
      <c r="X269" s="45"/>
      <c r="Y269" s="45"/>
      <c r="Z269" s="45"/>
      <c r="AA269" s="45"/>
      <c r="AB269" s="79">
        <v>20.923999999999999</v>
      </c>
      <c r="AC269" s="79">
        <v>29.23</v>
      </c>
      <c r="AD269" s="79">
        <v>29.23</v>
      </c>
      <c r="AE269" s="79">
        <v>29.23</v>
      </c>
      <c r="AF269" s="79">
        <v>24.86</v>
      </c>
      <c r="AG269" s="79">
        <v>24.86</v>
      </c>
      <c r="AH269" s="79">
        <v>24.86</v>
      </c>
      <c r="AI269" s="79">
        <v>29.370999999999999</v>
      </c>
      <c r="AJ269" s="79">
        <v>28.866</v>
      </c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</row>
  </sheetData>
  <mergeCells count="53">
    <mergeCell ref="S210:S211"/>
    <mergeCell ref="G210:G211"/>
    <mergeCell ref="N210:N211"/>
    <mergeCell ref="O210:O211"/>
    <mergeCell ref="P210:P211"/>
    <mergeCell ref="Q210:Q211"/>
    <mergeCell ref="R210:R211"/>
    <mergeCell ref="B210:B211"/>
    <mergeCell ref="C210:C211"/>
    <mergeCell ref="D210:D211"/>
    <mergeCell ref="E210:E211"/>
    <mergeCell ref="F210:F211"/>
    <mergeCell ref="Q79:Q80"/>
    <mergeCell ref="R79:R80"/>
    <mergeCell ref="S79:S80"/>
    <mergeCell ref="B143:B144"/>
    <mergeCell ref="C143:C144"/>
    <mergeCell ref="D143:D144"/>
    <mergeCell ref="E143:E144"/>
    <mergeCell ref="F143:F144"/>
    <mergeCell ref="G143:G144"/>
    <mergeCell ref="N143:N144"/>
    <mergeCell ref="O143:O144"/>
    <mergeCell ref="P143:P144"/>
    <mergeCell ref="Q143:Q144"/>
    <mergeCell ref="R143:R144"/>
    <mergeCell ref="S143:S144"/>
    <mergeCell ref="AN16:AV16"/>
    <mergeCell ref="B79:B80"/>
    <mergeCell ref="C79:C80"/>
    <mergeCell ref="D79:D80"/>
    <mergeCell ref="E79:E80"/>
    <mergeCell ref="F79:F80"/>
    <mergeCell ref="G79:G80"/>
    <mergeCell ref="N79:N80"/>
    <mergeCell ref="O79:O80"/>
    <mergeCell ref="P79:P80"/>
    <mergeCell ref="N15:N16"/>
    <mergeCell ref="O15:O16"/>
    <mergeCell ref="P15:P16"/>
    <mergeCell ref="Q15:Q16"/>
    <mergeCell ref="R15:R16"/>
    <mergeCell ref="S15:S16"/>
    <mergeCell ref="H2:I2"/>
    <mergeCell ref="F3:G3"/>
    <mergeCell ref="H3:I3"/>
    <mergeCell ref="H8:I8"/>
    <mergeCell ref="B15:B16"/>
    <mergeCell ref="C15:C16"/>
    <mergeCell ref="D15:D16"/>
    <mergeCell ref="E15:E16"/>
    <mergeCell ref="F15:F16"/>
    <mergeCell ref="G15:G16"/>
  </mergeCells>
  <hyperlinks>
    <hyperlink ref="AI9" r:id="rId1" xr:uid="{0EFC2903-8744-43F2-8734-37B079A97BEB}"/>
    <hyperlink ref="G12" r:id="rId2" xr:uid="{575ECC5B-B885-4A90-9899-9C090691CBD5}"/>
    <hyperlink ref="U26" r:id="rId3" xr:uid="{5E063F6F-7B98-4230-983D-09078A3D3AF7}"/>
    <hyperlink ref="G76" r:id="rId4" xr:uid="{96C24247-731B-449B-BFED-4ECCBE8A49A9}"/>
    <hyperlink ref="U90" r:id="rId5" xr:uid="{223CC789-B526-4DC3-8F68-A555990B38DF}"/>
    <hyperlink ref="G140" r:id="rId6" xr:uid="{72BEC4FB-FCE5-4E56-8B13-323D0D2B8479}"/>
    <hyperlink ref="U154" r:id="rId7" xr:uid="{4A45DDB1-491D-480E-8609-0C0F67825B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33BABD-0214-41C1-A4CB-B37DFD1593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776E0B-7D19-408E-95F1-92695F3BD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2A521B-1A83-4FBC-BB58-E065653497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(AC)</vt:lpstr>
      <vt:lpstr>Input</vt:lpstr>
      <vt:lpstr>Originial</vt:lpstr>
      <vt:lpstr>GHG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2025-10-02T14:08:42Z</dcterms:created>
  <dcterms:modified xsi:type="dcterms:W3CDTF">2025-12-01T19:32:31Z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