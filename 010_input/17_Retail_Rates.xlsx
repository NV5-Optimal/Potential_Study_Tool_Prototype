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41" documentId="11_A8978E9E653ABA201BE74A1325E619ED3CED4083" xr6:coauthVersionLast="47" xr6:coauthVersionMax="47" xr10:uidLastSave="{E8279868-2D15-4D58-AA1F-36FB0FC891D2}"/>
  <bookViews>
    <workbookView xWindow="240" yWindow="105" windowWidth="14805" windowHeight="8010" xr2:uid="{00000000-000D-0000-FFFF-FFFF00000000}"/>
  </bookViews>
  <sheets>
    <sheet name="Retail_Rates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I2" i="1"/>
  <c r="J2" i="1"/>
  <c r="F2" i="1"/>
  <c r="G2" i="1"/>
  <c r="H2" i="1"/>
  <c r="E2" i="1"/>
  <c r="B3" i="1"/>
  <c r="C3" i="1"/>
  <c r="D3" i="1"/>
  <c r="B4" i="1"/>
  <c r="C4" i="1"/>
  <c r="D4" i="1"/>
  <c r="B5" i="1"/>
  <c r="C5" i="1"/>
  <c r="D5" i="1"/>
  <c r="B6" i="1"/>
  <c r="C6" i="1"/>
  <c r="D6" i="1"/>
  <c r="B7" i="1"/>
  <c r="C7" i="1"/>
  <c r="D7" i="1"/>
  <c r="B8" i="1"/>
  <c r="C8" i="1"/>
  <c r="D8" i="1"/>
  <c r="B9" i="1"/>
  <c r="C9" i="1"/>
  <c r="D9" i="1"/>
  <c r="B10" i="1"/>
  <c r="C10" i="1"/>
  <c r="D10" i="1"/>
  <c r="B11" i="1"/>
  <c r="C11" i="1"/>
  <c r="D11" i="1"/>
  <c r="B12" i="1"/>
  <c r="C12" i="1"/>
  <c r="D12" i="1"/>
  <c r="B13" i="1"/>
  <c r="C13" i="1"/>
  <c r="D13" i="1"/>
  <c r="B14" i="1"/>
  <c r="C14" i="1"/>
  <c r="D14" i="1"/>
  <c r="B15" i="1"/>
  <c r="C15" i="1"/>
  <c r="D15" i="1"/>
  <c r="B16" i="1"/>
  <c r="C16" i="1"/>
  <c r="D16" i="1"/>
  <c r="B17" i="1"/>
  <c r="C17" i="1"/>
  <c r="D17" i="1"/>
  <c r="B18" i="1"/>
  <c r="C18" i="1"/>
  <c r="D18" i="1"/>
  <c r="B19" i="1"/>
  <c r="C19" i="1"/>
  <c r="D19" i="1"/>
  <c r="B20" i="1"/>
  <c r="C20" i="1"/>
  <c r="D20" i="1"/>
  <c r="B21" i="1"/>
  <c r="C21" i="1"/>
  <c r="D21" i="1"/>
  <c r="B22" i="1"/>
  <c r="C22" i="1"/>
  <c r="D22" i="1"/>
  <c r="B23" i="1"/>
  <c r="C23" i="1"/>
  <c r="D23" i="1"/>
  <c r="B24" i="1"/>
  <c r="C24" i="1"/>
  <c r="D24" i="1"/>
  <c r="B25" i="1"/>
  <c r="C25" i="1"/>
  <c r="D25" i="1"/>
  <c r="B26" i="1"/>
  <c r="C26" i="1"/>
  <c r="D26" i="1"/>
  <c r="C2" i="1"/>
  <c r="D2" i="1"/>
  <c r="B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" i="1"/>
  <c r="I1" i="1"/>
  <c r="J1" i="1"/>
  <c r="H1" i="1"/>
  <c r="F1" i="1"/>
  <c r="G1" i="1"/>
  <c r="E1" i="1"/>
  <c r="B1" i="1"/>
  <c r="C1" i="1"/>
  <c r="D1" i="1"/>
</calcChain>
</file>

<file path=xl/sharedStrings.xml><?xml version="1.0" encoding="utf-8"?>
<sst xmlns="http://schemas.openxmlformats.org/spreadsheetml/2006/main" count="1496" uniqueCount="89">
  <si>
    <t>Year</t>
  </si>
  <si>
    <t>Avoided Costs &amp; Fuel Prices</t>
  </si>
  <si>
    <t>All Avoided Costs must be in Year 2026$</t>
  </si>
  <si>
    <t>END-USE FUEL COSTS</t>
  </si>
  <si>
    <t>LINE LOSS FACTORS (% of meter)</t>
  </si>
  <si>
    <t> </t>
  </si>
  <si>
    <t>RETAIL FUEL COST ADDERS ($/MMBtu)</t>
  </si>
  <si>
    <t>EMISSIONS IMPACTS</t>
  </si>
  <si>
    <t>$/tonne CO2</t>
  </si>
  <si>
    <t>Sectors</t>
  </si>
  <si>
    <t>Summer On-Peak</t>
  </si>
  <si>
    <t>Summer Off-Peak</t>
  </si>
  <si>
    <t>Winter On-Peak</t>
  </si>
  <si>
    <t>Winter Off-Peak</t>
  </si>
  <si>
    <t>Shoulder</t>
  </si>
  <si>
    <t>Summer Gener. Capacity</t>
  </si>
  <si>
    <t>Summer T&amp;D</t>
  </si>
  <si>
    <t>Natural Gas</t>
  </si>
  <si>
    <t>CO2</t>
  </si>
  <si>
    <t>NOx</t>
  </si>
  <si>
    <t>CH4</t>
  </si>
  <si>
    <t>Equivalent CO2 Externalities</t>
  </si>
  <si>
    <t>Res</t>
  </si>
  <si>
    <t>Electric (tonne/MWh at gen)</t>
  </si>
  <si>
    <t xml:space="preserve">$-   </t>
  </si>
  <si>
    <t>$/kWh</t>
  </si>
  <si>
    <t>1 tonne = 1 "metric ton"</t>
  </si>
  <si>
    <t>Small C&amp;I</t>
  </si>
  <si>
    <t>Nat Gas (tonne/MMBtu)</t>
  </si>
  <si>
    <t>$/MMBtu</t>
  </si>
  <si>
    <t>1 US short ton = 2000 lbs</t>
  </si>
  <si>
    <t>Large C&amp;I</t>
  </si>
  <si>
    <t>Oil (tonne/MMBtu)</t>
  </si>
  <si>
    <t>US short ton/tonne</t>
  </si>
  <si>
    <t>tonne CO2/gallon of gas</t>
  </si>
  <si>
    <t>http://www.epa.gov/cleanenergy/energy-resources/refs.html</t>
  </si>
  <si>
    <t>$/gallon of gas equivalent for cost of CO2 (combustion CO2 only)</t>
  </si>
  <si>
    <t>USER DEFINED END-USE EXTERNALITIES ($/MMBtu)</t>
  </si>
  <si>
    <t>ELECTRIC AVOIDED COSTS w/o losses (at gen)</t>
  </si>
  <si>
    <t>Electric Avoided Costs Multiplier</t>
  </si>
  <si>
    <t>End-use Fuel Costs Multiplier</t>
  </si>
  <si>
    <t>OTHER RESOURCE</t>
  </si>
  <si>
    <t>USER DEFINED</t>
  </si>
  <si>
    <t>RETAIL PRICES BY SECTOR (2026$) - For the Participant Test</t>
  </si>
  <si>
    <t>ELEC SALES &amp; RIM INPUTS</t>
  </si>
  <si>
    <t>kWh1</t>
  </si>
  <si>
    <t>kWh2</t>
  </si>
  <si>
    <t>kWh3</t>
  </si>
  <si>
    <t>kWh4</t>
  </si>
  <si>
    <t>kWh5</t>
  </si>
  <si>
    <t>kWh6</t>
  </si>
  <si>
    <t>kW1</t>
  </si>
  <si>
    <t>kW2</t>
  </si>
  <si>
    <t>kW3</t>
  </si>
  <si>
    <t>kW4</t>
  </si>
  <si>
    <t>AVOIDED COSTS</t>
  </si>
  <si>
    <t>ELECTRIC EXTERNALITIES without losses (at gen)</t>
  </si>
  <si>
    <t>ELECTRICITY</t>
  </si>
  <si>
    <t>NATURAL GAS</t>
  </si>
  <si>
    <t>HEATING OIL</t>
  </si>
  <si>
    <t>Base Case</t>
  </si>
  <si>
    <t>Period/</t>
  </si>
  <si>
    <t>winter_gener_capacity_usdperkW-yr</t>
  </si>
  <si>
    <t>winter_td_usdperkW-yr</t>
  </si>
  <si>
    <t>Res Fuel Oil</t>
  </si>
  <si>
    <t>Com Fuel Oil</t>
  </si>
  <si>
    <t>Ind Fuel Oil</t>
  </si>
  <si>
    <t>Res Propane</t>
  </si>
  <si>
    <t>Com Propane</t>
  </si>
  <si>
    <t>Ind Propane</t>
  </si>
  <si>
    <t>Diesel, Transportation</t>
  </si>
  <si>
    <t>Gasoline, Transportation</t>
  </si>
  <si>
    <t>Water</t>
  </si>
  <si>
    <t>Shoulder On-Peak</t>
  </si>
  <si>
    <t>Shoulder Off-Peak</t>
  </si>
  <si>
    <t>Commercial</t>
  </si>
  <si>
    <t>Industrial</t>
  </si>
  <si>
    <t>Annual Revenue Requirement</t>
  </si>
  <si>
    <t>Annual Native Sales</t>
  </si>
  <si>
    <t>Type:</t>
  </si>
  <si>
    <t>Fuel Class:</t>
  </si>
  <si>
    <t>Oil</t>
  </si>
  <si>
    <t>Propane</t>
  </si>
  <si>
    <t>(2026$)</t>
  </si>
  <si>
    <t>$/kW-yr</t>
  </si>
  <si>
    <t>$/Gallon</t>
  </si>
  <si>
    <t>$/</t>
  </si>
  <si>
    <t>$Million</t>
  </si>
  <si>
    <t>GWh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</si>
</sst>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1">
    <font>
      <sz val="11"/>
      <color theme="1"/>
      <name val="Aptos Narrow"/>
      <family val="2"/>
      <scheme val="minor"/>
    </font>
    <font>
      <b/>
      <sz val="12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color rgb="FFFFFF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8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FF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49EDD"/>
        <bgColor rgb="FF000000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3" xfId="0" applyFont="1" applyBorder="1"/>
    <xf numFmtId="0" fontId="3" fillId="3" borderId="4" xfId="0" applyFont="1" applyFill="1" applyBorder="1"/>
    <xf numFmtId="0" fontId="3" fillId="0" borderId="5" xfId="0" applyFont="1" applyBorder="1"/>
    <xf numFmtId="0" fontId="3" fillId="0" borderId="6" xfId="0" applyFont="1" applyBorder="1" applyAlignment="1">
      <alignment wrapText="1"/>
    </xf>
    <xf numFmtId="0" fontId="3" fillId="0" borderId="7" xfId="0" applyFont="1" applyBorder="1"/>
    <xf numFmtId="0" fontId="3" fillId="0" borderId="8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6" fillId="0" borderId="0" xfId="0" applyFont="1"/>
    <xf numFmtId="0" fontId="3" fillId="3" borderId="7" xfId="0" applyFont="1" applyFill="1" applyBorder="1"/>
    <xf numFmtId="0" fontId="3" fillId="3" borderId="6" xfId="0" applyFont="1" applyFill="1" applyBorder="1"/>
    <xf numFmtId="0" fontId="3" fillId="0" borderId="9" xfId="0" applyFont="1" applyBorder="1"/>
    <xf numFmtId="0" fontId="3" fillId="3" borderId="5" xfId="0" applyFont="1" applyFill="1" applyBorder="1"/>
    <xf numFmtId="0" fontId="3" fillId="3" borderId="10" xfId="0" applyFont="1" applyFill="1" applyBorder="1"/>
    <xf numFmtId="0" fontId="3" fillId="4" borderId="6" xfId="0" applyFont="1" applyFill="1" applyBorder="1"/>
    <xf numFmtId="0" fontId="3" fillId="0" borderId="6" xfId="0" applyFont="1" applyBorder="1"/>
    <xf numFmtId="11" fontId="3" fillId="3" borderId="6" xfId="0" applyNumberFormat="1" applyFont="1" applyFill="1" applyBorder="1"/>
    <xf numFmtId="0" fontId="7" fillId="0" borderId="0" xfId="0" applyFont="1"/>
    <xf numFmtId="0" fontId="4" fillId="3" borderId="6" xfId="0" applyFont="1" applyFill="1" applyBorder="1"/>
    <xf numFmtId="0" fontId="8" fillId="0" borderId="0" xfId="0" applyFont="1"/>
    <xf numFmtId="0" fontId="3" fillId="4" borderId="5" xfId="0" applyFont="1" applyFill="1" applyBorder="1"/>
    <xf numFmtId="0" fontId="9" fillId="0" borderId="3" xfId="0" applyFont="1" applyBorder="1"/>
    <xf numFmtId="0" fontId="9" fillId="0" borderId="0" xfId="0" applyFont="1"/>
    <xf numFmtId="0" fontId="3" fillId="0" borderId="12" xfId="0" applyFont="1" applyBorder="1"/>
    <xf numFmtId="0" fontId="3" fillId="0" borderId="8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0" xfId="0" applyFont="1" applyAlignment="1">
      <alignment wrapText="1"/>
    </xf>
    <xf numFmtId="0" fontId="3" fillId="3" borderId="15" xfId="0" applyFont="1" applyFill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3" fillId="0" borderId="15" xfId="0" applyFont="1" applyBorder="1" applyAlignment="1">
      <alignment wrapText="1"/>
    </xf>
    <xf numFmtId="0" fontId="3" fillId="0" borderId="16" xfId="0" applyFont="1" applyBorder="1" applyAlignment="1">
      <alignment wrapText="1"/>
    </xf>
    <xf numFmtId="0" fontId="3" fillId="3" borderId="8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3" fillId="0" borderId="8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8" xfId="0" applyFont="1" applyBorder="1" applyAlignment="1">
      <alignment wrapText="1"/>
    </xf>
    <xf numFmtId="0" fontId="3" fillId="3" borderId="17" xfId="0" applyFont="1" applyFill="1" applyBorder="1" applyAlignment="1">
      <alignment wrapText="1"/>
    </xf>
    <xf numFmtId="0" fontId="10" fillId="5" borderId="7" xfId="0" applyFont="1" applyFill="1" applyBorder="1"/>
    <xf numFmtId="0" fontId="10" fillId="5" borderId="6" xfId="0" applyFont="1" applyFill="1" applyBorder="1"/>
    <xf numFmtId="0" fontId="3" fillId="0" borderId="16" xfId="0" applyFont="1" applyBorder="1"/>
    <xf numFmtId="0" fontId="4" fillId="3" borderId="0" xfId="0" applyFont="1" applyFill="1"/>
    <xf numFmtId="8" fontId="3" fillId="3" borderId="0" xfId="0" applyNumberFormat="1" applyFont="1" applyFill="1"/>
    <xf numFmtId="0" fontId="3" fillId="3" borderId="0" xfId="0" applyFont="1" applyFill="1"/>
    <xf numFmtId="8" fontId="3" fillId="6" borderId="0" xfId="0" applyNumberFormat="1" applyFont="1" applyFill="1"/>
    <xf numFmtId="0" fontId="3" fillId="6" borderId="0" xfId="0" applyFont="1" applyFill="1"/>
    <xf numFmtId="8" fontId="0" fillId="0" borderId="0" xfId="0" applyNumberFormat="1"/>
    <xf numFmtId="0" fontId="2" fillId="2" borderId="1" xfId="0" applyFont="1" applyFill="1" applyBorder="1" applyAlignment="1"/>
    <xf numFmtId="0" fontId="2" fillId="2" borderId="2" xfId="0" applyFont="1" applyFill="1" applyBorder="1" applyAlignment="1"/>
    <xf numFmtId="0" fontId="3" fillId="0" borderId="0" xfId="0" applyFont="1" applyAlignment="1"/>
    <xf numFmtId="0" fontId="3" fillId="0" borderId="3" xfId="0" applyFont="1" applyBorder="1" applyAlignment="1"/>
    <xf numFmtId="0" fontId="3" fillId="0" borderId="11" xfId="0" applyFont="1" applyBorder="1" applyAlignment="1"/>
    <xf numFmtId="0" fontId="9" fillId="0" borderId="0" xfId="0" applyFont="1" applyAlignment="1"/>
    <xf numFmtId="0" fontId="3" fillId="0" borderId="1" xfId="0" applyFont="1" applyBorder="1" applyAlignment="1"/>
    <xf numFmtId="0" fontId="3" fillId="0" borderId="2" xfId="0" applyFont="1" applyBorder="1" applyAlignment="1"/>
    <xf numFmtId="0" fontId="3" fillId="0" borderId="16" xfId="0" applyFont="1" applyBorder="1" applyAlignment="1"/>
    <xf numFmtId="0" fontId="3" fillId="0" borderId="15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C1" sqref="C1"/>
    </sheetView>
  </sheetViews>
  <sheetFormatPr defaultRowHeight="15"/>
  <cols>
    <col min="3" max="3" width="27.7109375" customWidth="1"/>
    <col min="7" max="7" width="28.5703125" customWidth="1"/>
    <col min="8" max="8" width="22.7109375" customWidth="1"/>
    <col min="9" max="9" width="22.140625" customWidth="1"/>
  </cols>
  <sheetData>
    <row r="1" spans="1:10">
      <c r="A1" t="s">
        <v>0</v>
      </c>
      <c r="B1" t="str">
        <f>LOWER(_xlfn.CONCAT(Sheet2!$AO15,"_", Sheet2!AO16,"_", Sheet2!AO19))</f>
        <v>electricity_res_$/kwh</v>
      </c>
      <c r="C1" t="str">
        <f>LOWER(_xlfn.CONCAT(Sheet2!$AO15,"_", Sheet2!AP16,"_", Sheet2!AP19))</f>
        <v>electricity_commercial_$/kwh</v>
      </c>
      <c r="D1" t="str">
        <f>LOWER(_xlfn.CONCAT(Sheet2!$AO15,"_", Sheet2!AQ16,"_", Sheet2!AQ19))</f>
        <v>electricity_industrial_$/kwh</v>
      </c>
      <c r="E1" t="str">
        <f>LOWER(_xlfn.CONCAT(Sheet2!$AT15,"_", Sheet2!AT16,"_", Sheet2!AT19))</f>
        <v>natural gas_res_$/mmbtu</v>
      </c>
      <c r="F1" t="str">
        <f>LOWER(_xlfn.CONCAT(Sheet2!$AT15,"_", Sheet2!AU16,"_", Sheet2!AU19))</f>
        <v>natural gas_commercial_$/mmbtu</v>
      </c>
      <c r="G1" t="str">
        <f>LOWER(_xlfn.CONCAT(Sheet2!$AT15,"_", Sheet2!AV16,"_", Sheet2!AV19))</f>
        <v>natural gas_industrial_$/mmbtu</v>
      </c>
      <c r="H1" t="str">
        <f>LOWER(_xlfn.CONCAT(Sheet2!$AY15,"_", Sheet2!AY16,"_", Sheet2!AY19))</f>
        <v>heating oil_res_$/mmbtu</v>
      </c>
      <c r="I1" t="str">
        <f>LOWER(_xlfn.CONCAT(Sheet2!$AY15,"_", Sheet2!AZ16,"_", Sheet2!AZ19))</f>
        <v>heating oil_commercial_$/mmbtu</v>
      </c>
      <c r="J1" t="str">
        <f>LOWER(_xlfn.CONCAT(Sheet2!$AY15,"_", Sheet2!BA16,"_", Sheet2!BA19))</f>
        <v>heating oil_industrial_$/mmbtu</v>
      </c>
    </row>
    <row r="2" spans="1:10">
      <c r="A2">
        <f>Sheet2!A20</f>
        <v>2026</v>
      </c>
      <c r="B2" s="53">
        <f>Sheet2!AO20</f>
        <v>0.2</v>
      </c>
      <c r="C2" s="53">
        <f>Sheet2!AP20</f>
        <v>0.14000000000000001</v>
      </c>
      <c r="D2" s="53">
        <f>Sheet2!AQ20</f>
        <v>0.08</v>
      </c>
      <c r="E2" s="53">
        <f>Sheet2!AT20</f>
        <v>11.26</v>
      </c>
      <c r="F2" s="53">
        <f>Sheet2!AU20</f>
        <v>9.77</v>
      </c>
      <c r="G2" s="53">
        <f>Sheet2!AV20</f>
        <v>7.91</v>
      </c>
      <c r="H2" s="53">
        <f>Sheet2!AY20</f>
        <v>24.68</v>
      </c>
      <c r="I2" s="53">
        <f>Sheet2!AZ20</f>
        <v>18.71</v>
      </c>
      <c r="J2" s="53">
        <f>Sheet2!BA20</f>
        <v>18.71</v>
      </c>
    </row>
    <row r="3" spans="1:10">
      <c r="A3">
        <f>Sheet2!A21</f>
        <v>2027</v>
      </c>
      <c r="B3" s="53">
        <f>Sheet2!AO21</f>
        <v>0.21</v>
      </c>
      <c r="C3" s="53">
        <f>Sheet2!AP21</f>
        <v>0.14000000000000001</v>
      </c>
      <c r="D3" s="53">
        <f>Sheet2!AQ21</f>
        <v>0.08</v>
      </c>
      <c r="E3" s="53">
        <f>Sheet2!AT21</f>
        <v>10.72</v>
      </c>
      <c r="F3" s="53">
        <f>Sheet2!AU21</f>
        <v>9.9600000000000009</v>
      </c>
      <c r="G3" s="53">
        <f>Sheet2!AV21</f>
        <v>7.69</v>
      </c>
      <c r="H3" s="53">
        <f>Sheet2!AY21</f>
        <v>25</v>
      </c>
      <c r="I3" s="53">
        <f>Sheet2!AZ21</f>
        <v>18.239999999999998</v>
      </c>
      <c r="J3" s="53">
        <f>Sheet2!BA21</f>
        <v>18.190000000000001</v>
      </c>
    </row>
    <row r="4" spans="1:10">
      <c r="A4">
        <f>Sheet2!A22</f>
        <v>2028</v>
      </c>
      <c r="B4" s="53">
        <f>Sheet2!AO22</f>
        <v>0.21</v>
      </c>
      <c r="C4" s="53">
        <f>Sheet2!AP22</f>
        <v>0.14000000000000001</v>
      </c>
      <c r="D4" s="53">
        <f>Sheet2!AQ22</f>
        <v>0.08</v>
      </c>
      <c r="E4" s="53">
        <f>Sheet2!AT22</f>
        <v>10.38</v>
      </c>
      <c r="F4" s="53">
        <f>Sheet2!AU22</f>
        <v>10.34</v>
      </c>
      <c r="G4" s="53">
        <f>Sheet2!AV22</f>
        <v>7.76</v>
      </c>
      <c r="H4" s="53">
        <f>Sheet2!AY22</f>
        <v>25.57</v>
      </c>
      <c r="I4" s="53">
        <f>Sheet2!AZ22</f>
        <v>17.97</v>
      </c>
      <c r="J4" s="53">
        <f>Sheet2!BA22</f>
        <v>17.87</v>
      </c>
    </row>
    <row r="5" spans="1:10">
      <c r="A5">
        <f>Sheet2!A23</f>
        <v>2029</v>
      </c>
      <c r="B5" s="53">
        <f>Sheet2!AO23</f>
        <v>0.22</v>
      </c>
      <c r="C5" s="53">
        <f>Sheet2!AP23</f>
        <v>0.14000000000000001</v>
      </c>
      <c r="D5" s="53">
        <f>Sheet2!AQ23</f>
        <v>0.08</v>
      </c>
      <c r="E5" s="53">
        <f>Sheet2!AT23</f>
        <v>10.19</v>
      </c>
      <c r="F5" s="53">
        <f>Sheet2!AU23</f>
        <v>10.84</v>
      </c>
      <c r="G5" s="53">
        <f>Sheet2!AV23</f>
        <v>7.94</v>
      </c>
      <c r="H5" s="53">
        <f>Sheet2!AY23</f>
        <v>26.19</v>
      </c>
      <c r="I5" s="53">
        <f>Sheet2!AZ23</f>
        <v>17.72</v>
      </c>
      <c r="J5" s="53">
        <f>Sheet2!BA23</f>
        <v>17.57</v>
      </c>
    </row>
    <row r="6" spans="1:10">
      <c r="A6">
        <f>Sheet2!A24</f>
        <v>2030</v>
      </c>
      <c r="B6" s="53">
        <f>Sheet2!AO24</f>
        <v>0.22</v>
      </c>
      <c r="C6" s="53">
        <f>Sheet2!AP24</f>
        <v>0.15</v>
      </c>
      <c r="D6" s="53">
        <f>Sheet2!AQ24</f>
        <v>0.08</v>
      </c>
      <c r="E6" s="53">
        <f>Sheet2!AT24</f>
        <v>9.98</v>
      </c>
      <c r="F6" s="53">
        <f>Sheet2!AU24</f>
        <v>11.31</v>
      </c>
      <c r="G6" s="53">
        <f>Sheet2!AV24</f>
        <v>8.15</v>
      </c>
      <c r="H6" s="53">
        <f>Sheet2!AY24</f>
        <v>26.88</v>
      </c>
      <c r="I6" s="53">
        <f>Sheet2!AZ24</f>
        <v>17.5</v>
      </c>
      <c r="J6" s="53">
        <f>Sheet2!BA24</f>
        <v>17.3</v>
      </c>
    </row>
    <row r="7" spans="1:10">
      <c r="A7">
        <f>Sheet2!A25</f>
        <v>2031</v>
      </c>
      <c r="B7" s="53">
        <f>Sheet2!AO25</f>
        <v>0.22</v>
      </c>
      <c r="C7" s="53">
        <f>Sheet2!AP25</f>
        <v>0.15</v>
      </c>
      <c r="D7" s="53">
        <f>Sheet2!AQ25</f>
        <v>0.08</v>
      </c>
      <c r="E7" s="53">
        <f>Sheet2!AT25</f>
        <v>10.199999999999999</v>
      </c>
      <c r="F7" s="53">
        <f>Sheet2!AU25</f>
        <v>11.51</v>
      </c>
      <c r="G7" s="53">
        <f>Sheet2!AV25</f>
        <v>8.3699999999999992</v>
      </c>
      <c r="H7" s="53">
        <f>Sheet2!AY25</f>
        <v>26.98</v>
      </c>
      <c r="I7" s="53">
        <f>Sheet2!AZ25</f>
        <v>17.559999999999999</v>
      </c>
      <c r="J7" s="53">
        <f>Sheet2!BA25</f>
        <v>17.36</v>
      </c>
    </row>
    <row r="8" spans="1:10">
      <c r="A8">
        <f>Sheet2!A26</f>
        <v>2032</v>
      </c>
      <c r="B8" s="53">
        <f>Sheet2!AO26</f>
        <v>0.21</v>
      </c>
      <c r="C8" s="53">
        <f>Sheet2!AP26</f>
        <v>0.14000000000000001</v>
      </c>
      <c r="D8" s="53">
        <f>Sheet2!AQ26</f>
        <v>0.08</v>
      </c>
      <c r="E8" s="53">
        <f>Sheet2!AT26</f>
        <v>10.71</v>
      </c>
      <c r="F8" s="53">
        <f>Sheet2!AU26</f>
        <v>12.01</v>
      </c>
      <c r="G8" s="53">
        <f>Sheet2!AV26</f>
        <v>9.1</v>
      </c>
      <c r="H8" s="53">
        <f>Sheet2!AY26</f>
        <v>26.83</v>
      </c>
      <c r="I8" s="53">
        <f>Sheet2!AZ26</f>
        <v>17.489999999999998</v>
      </c>
      <c r="J8" s="53">
        <f>Sheet2!BA26</f>
        <v>17.3</v>
      </c>
    </row>
    <row r="9" spans="1:10">
      <c r="A9">
        <f>Sheet2!A27</f>
        <v>2033</v>
      </c>
      <c r="B9" s="53">
        <f>Sheet2!AO27</f>
        <v>0.22</v>
      </c>
      <c r="C9" s="53">
        <f>Sheet2!AP27</f>
        <v>0.14000000000000001</v>
      </c>
      <c r="D9" s="53">
        <f>Sheet2!AQ27</f>
        <v>0.08</v>
      </c>
      <c r="E9" s="53">
        <f>Sheet2!AT27</f>
        <v>11.18</v>
      </c>
      <c r="F9" s="53">
        <f>Sheet2!AU27</f>
        <v>12.46</v>
      </c>
      <c r="G9" s="53">
        <f>Sheet2!AV27</f>
        <v>9.66</v>
      </c>
      <c r="H9" s="53">
        <f>Sheet2!AY27</f>
        <v>27.26</v>
      </c>
      <c r="I9" s="53">
        <f>Sheet2!AZ27</f>
        <v>17.79</v>
      </c>
      <c r="J9" s="53">
        <f>Sheet2!BA27</f>
        <v>17.600000000000001</v>
      </c>
    </row>
    <row r="10" spans="1:10">
      <c r="A10">
        <f>Sheet2!A28</f>
        <v>2034</v>
      </c>
      <c r="B10" s="53">
        <f>Sheet2!AO28</f>
        <v>0.22</v>
      </c>
      <c r="C10" s="53">
        <f>Sheet2!AP28</f>
        <v>0.14000000000000001</v>
      </c>
      <c r="D10" s="53">
        <f>Sheet2!AQ28</f>
        <v>0.08</v>
      </c>
      <c r="E10" s="53">
        <f>Sheet2!AT28</f>
        <v>11.49</v>
      </c>
      <c r="F10" s="53">
        <f>Sheet2!AU28</f>
        <v>12.72</v>
      </c>
      <c r="G10" s="53">
        <f>Sheet2!AV28</f>
        <v>9.9499999999999993</v>
      </c>
      <c r="H10" s="53">
        <f>Sheet2!AY28</f>
        <v>27.43</v>
      </c>
      <c r="I10" s="53">
        <f>Sheet2!AZ28</f>
        <v>17.920000000000002</v>
      </c>
      <c r="J10" s="53">
        <f>Sheet2!BA28</f>
        <v>17.73</v>
      </c>
    </row>
    <row r="11" spans="1:10">
      <c r="A11">
        <f>Sheet2!A29</f>
        <v>2035</v>
      </c>
      <c r="B11" s="53">
        <f>Sheet2!AO29</f>
        <v>0.22</v>
      </c>
      <c r="C11" s="53">
        <f>Sheet2!AP29</f>
        <v>0.15</v>
      </c>
      <c r="D11" s="53">
        <f>Sheet2!AQ29</f>
        <v>0.08</v>
      </c>
      <c r="E11" s="53">
        <f>Sheet2!AT29</f>
        <v>11.66</v>
      </c>
      <c r="F11" s="53">
        <f>Sheet2!AU29</f>
        <v>12.84</v>
      </c>
      <c r="G11" s="53">
        <f>Sheet2!AV29</f>
        <v>10.06</v>
      </c>
      <c r="H11" s="53">
        <f>Sheet2!AY29</f>
        <v>27.65</v>
      </c>
      <c r="I11" s="53">
        <f>Sheet2!AZ29</f>
        <v>18.13</v>
      </c>
      <c r="J11" s="53">
        <f>Sheet2!BA29</f>
        <v>17.940000000000001</v>
      </c>
    </row>
    <row r="12" spans="1:10">
      <c r="A12">
        <f>Sheet2!A30</f>
        <v>2036</v>
      </c>
      <c r="B12" s="53">
        <f>Sheet2!AO30</f>
        <v>0.21</v>
      </c>
      <c r="C12" s="53">
        <f>Sheet2!AP30</f>
        <v>0.14000000000000001</v>
      </c>
      <c r="D12" s="53">
        <f>Sheet2!AQ30</f>
        <v>0.08</v>
      </c>
      <c r="E12" s="53">
        <f>Sheet2!AT30</f>
        <v>11.71</v>
      </c>
      <c r="F12" s="53">
        <f>Sheet2!AU30</f>
        <v>12.83</v>
      </c>
      <c r="G12" s="53">
        <f>Sheet2!AV30</f>
        <v>10.02</v>
      </c>
      <c r="H12" s="53">
        <f>Sheet2!AY30</f>
        <v>27.69</v>
      </c>
      <c r="I12" s="53">
        <f>Sheet2!AZ30</f>
        <v>18.21</v>
      </c>
      <c r="J12" s="53">
        <f>Sheet2!BA30</f>
        <v>18.03</v>
      </c>
    </row>
    <row r="13" spans="1:10">
      <c r="A13">
        <f>Sheet2!A31</f>
        <v>2037</v>
      </c>
      <c r="B13" s="53">
        <f>Sheet2!AO31</f>
        <v>0.22</v>
      </c>
      <c r="C13" s="53">
        <f>Sheet2!AP31</f>
        <v>0.14000000000000001</v>
      </c>
      <c r="D13" s="53">
        <f>Sheet2!AQ31</f>
        <v>0.08</v>
      </c>
      <c r="E13" s="53">
        <f>Sheet2!AT31</f>
        <v>11.68</v>
      </c>
      <c r="F13" s="53">
        <f>Sheet2!AU31</f>
        <v>12.75</v>
      </c>
      <c r="G13" s="53">
        <f>Sheet2!AV31</f>
        <v>9.8699999999999992</v>
      </c>
      <c r="H13" s="53">
        <f>Sheet2!AY31</f>
        <v>27.91</v>
      </c>
      <c r="I13" s="53">
        <f>Sheet2!AZ31</f>
        <v>18.38</v>
      </c>
      <c r="J13" s="53">
        <f>Sheet2!BA31</f>
        <v>18.21</v>
      </c>
    </row>
    <row r="14" spans="1:10">
      <c r="A14">
        <f>Sheet2!A32</f>
        <v>2038</v>
      </c>
      <c r="B14" s="53">
        <f>Sheet2!AO32</f>
        <v>0.21</v>
      </c>
      <c r="C14" s="53">
        <f>Sheet2!AP32</f>
        <v>0.14000000000000001</v>
      </c>
      <c r="D14" s="53">
        <f>Sheet2!AQ32</f>
        <v>0.08</v>
      </c>
      <c r="E14" s="53">
        <f>Sheet2!AT32</f>
        <v>11.61</v>
      </c>
      <c r="F14" s="53">
        <f>Sheet2!AU32</f>
        <v>12.63</v>
      </c>
      <c r="G14" s="53">
        <f>Sheet2!AV32</f>
        <v>9.65</v>
      </c>
      <c r="H14" s="53">
        <f>Sheet2!AY32</f>
        <v>28.16</v>
      </c>
      <c r="I14" s="53">
        <f>Sheet2!AZ32</f>
        <v>18.489999999999998</v>
      </c>
      <c r="J14" s="53">
        <f>Sheet2!BA32</f>
        <v>18.3</v>
      </c>
    </row>
    <row r="15" spans="1:10">
      <c r="A15">
        <f>Sheet2!A33</f>
        <v>2039</v>
      </c>
      <c r="B15" s="53">
        <f>Sheet2!AO33</f>
        <v>0.21</v>
      </c>
      <c r="C15" s="53">
        <f>Sheet2!AP33</f>
        <v>0.14000000000000001</v>
      </c>
      <c r="D15" s="53">
        <f>Sheet2!AQ33</f>
        <v>0.08</v>
      </c>
      <c r="E15" s="53">
        <f>Sheet2!AT33</f>
        <v>11.58</v>
      </c>
      <c r="F15" s="53">
        <f>Sheet2!AU33</f>
        <v>12.55</v>
      </c>
      <c r="G15" s="53">
        <f>Sheet2!AV33</f>
        <v>9.52</v>
      </c>
      <c r="H15" s="53">
        <f>Sheet2!AY33</f>
        <v>28.3</v>
      </c>
      <c r="I15" s="53">
        <f>Sheet2!AZ33</f>
        <v>18.61</v>
      </c>
      <c r="J15" s="53">
        <f>Sheet2!BA33</f>
        <v>18.43</v>
      </c>
    </row>
    <row r="16" spans="1:10">
      <c r="A16">
        <f>Sheet2!A34</f>
        <v>2040</v>
      </c>
      <c r="B16" s="53">
        <f>Sheet2!AO34</f>
        <v>0.24</v>
      </c>
      <c r="C16" s="53">
        <f>Sheet2!AP34</f>
        <v>0.16</v>
      </c>
      <c r="D16" s="53">
        <f>Sheet2!AQ34</f>
        <v>0.09</v>
      </c>
      <c r="E16" s="53">
        <f>Sheet2!AT34</f>
        <v>11.61</v>
      </c>
      <c r="F16" s="53">
        <f>Sheet2!AU34</f>
        <v>12.54</v>
      </c>
      <c r="G16" s="53">
        <f>Sheet2!AV34</f>
        <v>9.5</v>
      </c>
      <c r="H16" s="53">
        <f>Sheet2!AY34</f>
        <v>28.56</v>
      </c>
      <c r="I16" s="53">
        <f>Sheet2!AZ34</f>
        <v>18.82</v>
      </c>
      <c r="J16" s="53">
        <f>Sheet2!BA34</f>
        <v>18.64</v>
      </c>
    </row>
    <row r="17" spans="1:10">
      <c r="A17">
        <f>Sheet2!A35</f>
        <v>2041</v>
      </c>
      <c r="B17" s="53">
        <f>Sheet2!AO35</f>
        <v>0.24</v>
      </c>
      <c r="C17" s="53">
        <f>Sheet2!AP35</f>
        <v>0.16</v>
      </c>
      <c r="D17" s="53">
        <f>Sheet2!AQ35</f>
        <v>0.09</v>
      </c>
      <c r="E17" s="53">
        <f>Sheet2!AT35</f>
        <v>11.76</v>
      </c>
      <c r="F17" s="53">
        <f>Sheet2!AU35</f>
        <v>12.66</v>
      </c>
      <c r="G17" s="53">
        <f>Sheet2!AV35</f>
        <v>9.6300000000000008</v>
      </c>
      <c r="H17" s="53">
        <f>Sheet2!AY35</f>
        <v>28.96</v>
      </c>
      <c r="I17" s="53">
        <f>Sheet2!AZ35</f>
        <v>19.05</v>
      </c>
      <c r="J17" s="53">
        <f>Sheet2!BA35</f>
        <v>18.87</v>
      </c>
    </row>
    <row r="18" spans="1:10">
      <c r="A18">
        <f>Sheet2!A36</f>
        <v>2042</v>
      </c>
      <c r="B18" s="53">
        <f>Sheet2!AO36</f>
        <v>0.25</v>
      </c>
      <c r="C18" s="53">
        <f>Sheet2!AP36</f>
        <v>0.17</v>
      </c>
      <c r="D18" s="53">
        <f>Sheet2!AQ36</f>
        <v>0.09</v>
      </c>
      <c r="E18" s="53">
        <f>Sheet2!AT36</f>
        <v>11.88</v>
      </c>
      <c r="F18" s="53">
        <f>Sheet2!AU36</f>
        <v>12.75</v>
      </c>
      <c r="G18" s="53">
        <f>Sheet2!AV36</f>
        <v>9.7100000000000009</v>
      </c>
      <c r="H18" s="53">
        <f>Sheet2!AY36</f>
        <v>29.1</v>
      </c>
      <c r="I18" s="53">
        <f>Sheet2!AZ36</f>
        <v>19.16</v>
      </c>
      <c r="J18" s="53">
        <f>Sheet2!BA36</f>
        <v>18.98</v>
      </c>
    </row>
    <row r="19" spans="1:10">
      <c r="A19">
        <f>Sheet2!A37</f>
        <v>2043</v>
      </c>
      <c r="B19" s="53">
        <f>Sheet2!AO37</f>
        <v>0.25</v>
      </c>
      <c r="C19" s="53">
        <f>Sheet2!AP37</f>
        <v>0.17</v>
      </c>
      <c r="D19" s="53">
        <f>Sheet2!AQ37</f>
        <v>0.09</v>
      </c>
      <c r="E19" s="53">
        <f>Sheet2!AT37</f>
        <v>12.01</v>
      </c>
      <c r="F19" s="53">
        <f>Sheet2!AU37</f>
        <v>12.84</v>
      </c>
      <c r="G19" s="53">
        <f>Sheet2!AV37</f>
        <v>9.7799999999999994</v>
      </c>
      <c r="H19" s="53">
        <f>Sheet2!AY37</f>
        <v>29.57</v>
      </c>
      <c r="I19" s="53">
        <f>Sheet2!AZ37</f>
        <v>19.46</v>
      </c>
      <c r="J19" s="53">
        <f>Sheet2!BA37</f>
        <v>19.27</v>
      </c>
    </row>
    <row r="20" spans="1:10">
      <c r="A20">
        <f>Sheet2!A38</f>
        <v>2044</v>
      </c>
      <c r="B20" s="53">
        <f>Sheet2!AO38</f>
        <v>0.25</v>
      </c>
      <c r="C20" s="53">
        <f>Sheet2!AP38</f>
        <v>0.17</v>
      </c>
      <c r="D20" s="53">
        <f>Sheet2!AQ38</f>
        <v>0.09</v>
      </c>
      <c r="E20" s="53">
        <f>Sheet2!AT38</f>
        <v>12.09</v>
      </c>
      <c r="F20" s="53">
        <f>Sheet2!AU38</f>
        <v>12.88</v>
      </c>
      <c r="G20" s="53">
        <f>Sheet2!AV38</f>
        <v>9.8000000000000007</v>
      </c>
      <c r="H20" s="53">
        <f>Sheet2!AY38</f>
        <v>29.83</v>
      </c>
      <c r="I20" s="53">
        <f>Sheet2!AZ38</f>
        <v>19.649999999999999</v>
      </c>
      <c r="J20" s="53">
        <f>Sheet2!BA38</f>
        <v>19.46</v>
      </c>
    </row>
    <row r="21" spans="1:10">
      <c r="A21">
        <f>Sheet2!A39</f>
        <v>2045</v>
      </c>
      <c r="B21" s="53">
        <f>Sheet2!AO39</f>
        <v>0.25</v>
      </c>
      <c r="C21" s="53">
        <f>Sheet2!AP39</f>
        <v>0.17</v>
      </c>
      <c r="D21" s="53">
        <f>Sheet2!AQ39</f>
        <v>0.09</v>
      </c>
      <c r="E21" s="53">
        <f>Sheet2!AT39</f>
        <v>12.2</v>
      </c>
      <c r="F21" s="53">
        <f>Sheet2!AU39</f>
        <v>12.96</v>
      </c>
      <c r="G21" s="53">
        <f>Sheet2!AV39</f>
        <v>9.86</v>
      </c>
      <c r="H21" s="53">
        <f>Sheet2!AY39</f>
        <v>29.94</v>
      </c>
      <c r="I21" s="53">
        <f>Sheet2!AZ39</f>
        <v>19.71</v>
      </c>
      <c r="J21" s="53">
        <f>Sheet2!BA39</f>
        <v>19.52</v>
      </c>
    </row>
    <row r="22" spans="1:10">
      <c r="A22">
        <f>Sheet2!A40</f>
        <v>2046</v>
      </c>
      <c r="B22" s="53">
        <f>Sheet2!AO40</f>
        <v>0.25</v>
      </c>
      <c r="C22" s="53">
        <f>Sheet2!AP40</f>
        <v>0.17</v>
      </c>
      <c r="D22" s="53">
        <f>Sheet2!AQ40</f>
        <v>0.09</v>
      </c>
      <c r="E22" s="53">
        <f>Sheet2!AT40</f>
        <v>12.33</v>
      </c>
      <c r="F22" s="53">
        <f>Sheet2!AU40</f>
        <v>13.07</v>
      </c>
      <c r="G22" s="53">
        <f>Sheet2!AV40</f>
        <v>9.9600000000000009</v>
      </c>
      <c r="H22" s="53">
        <f>Sheet2!AY40</f>
        <v>30.3</v>
      </c>
      <c r="I22" s="53">
        <f>Sheet2!AZ40</f>
        <v>19.95</v>
      </c>
      <c r="J22" s="53">
        <f>Sheet2!BA40</f>
        <v>19.760000000000002</v>
      </c>
    </row>
    <row r="23" spans="1:10">
      <c r="A23">
        <f>Sheet2!A41</f>
        <v>2047</v>
      </c>
      <c r="B23" s="53">
        <f>Sheet2!AO41</f>
        <v>0.26</v>
      </c>
      <c r="C23" s="53">
        <f>Sheet2!AP41</f>
        <v>0.17</v>
      </c>
      <c r="D23" s="53">
        <f>Sheet2!AQ41</f>
        <v>0.1</v>
      </c>
      <c r="E23" s="53">
        <f>Sheet2!AT41</f>
        <v>12.38</v>
      </c>
      <c r="F23" s="53">
        <f>Sheet2!AU41</f>
        <v>13.07</v>
      </c>
      <c r="G23" s="53">
        <f>Sheet2!AV41</f>
        <v>9.91</v>
      </c>
      <c r="H23" s="53">
        <f>Sheet2!AY41</f>
        <v>31.07</v>
      </c>
      <c r="I23" s="53">
        <f>Sheet2!AZ41</f>
        <v>20.440000000000001</v>
      </c>
      <c r="J23" s="53">
        <f>Sheet2!BA41</f>
        <v>20.239999999999998</v>
      </c>
    </row>
    <row r="24" spans="1:10">
      <c r="A24">
        <f>Sheet2!A42</f>
        <v>2048</v>
      </c>
      <c r="B24" s="53">
        <f>Sheet2!AO42</f>
        <v>0.26</v>
      </c>
      <c r="C24" s="53">
        <f>Sheet2!AP42</f>
        <v>0.17</v>
      </c>
      <c r="D24" s="53">
        <f>Sheet2!AQ42</f>
        <v>0.1</v>
      </c>
      <c r="E24" s="53">
        <f>Sheet2!AT42</f>
        <v>12.37</v>
      </c>
      <c r="F24" s="53">
        <f>Sheet2!AU42</f>
        <v>13.01</v>
      </c>
      <c r="G24" s="53">
        <f>Sheet2!AV42</f>
        <v>9.82</v>
      </c>
      <c r="H24" s="53">
        <f>Sheet2!AY42</f>
        <v>31.08</v>
      </c>
      <c r="I24" s="53">
        <f>Sheet2!AZ42</f>
        <v>20.440000000000001</v>
      </c>
      <c r="J24" s="53">
        <f>Sheet2!BA42</f>
        <v>20.25</v>
      </c>
    </row>
    <row r="25" spans="1:10">
      <c r="A25">
        <f>Sheet2!A43</f>
        <v>2049</v>
      </c>
      <c r="B25" s="53">
        <f>Sheet2!AO43</f>
        <v>0.25</v>
      </c>
      <c r="C25" s="53">
        <f>Sheet2!AP43</f>
        <v>0.17</v>
      </c>
      <c r="D25" s="53">
        <f>Sheet2!AQ43</f>
        <v>0.09</v>
      </c>
      <c r="E25" s="53">
        <f>Sheet2!AT43</f>
        <v>12.37</v>
      </c>
      <c r="F25" s="53">
        <f>Sheet2!AU43</f>
        <v>12.98</v>
      </c>
      <c r="G25" s="53">
        <f>Sheet2!AV43</f>
        <v>9.7100000000000009</v>
      </c>
      <c r="H25" s="53">
        <f>Sheet2!AY43</f>
        <v>31.16</v>
      </c>
      <c r="I25" s="53">
        <f>Sheet2!AZ43</f>
        <v>20.440000000000001</v>
      </c>
      <c r="J25" s="53">
        <f>Sheet2!BA43</f>
        <v>20.239999999999998</v>
      </c>
    </row>
    <row r="26" spans="1:10">
      <c r="A26">
        <f>Sheet2!A44</f>
        <v>2050</v>
      </c>
      <c r="B26" s="53">
        <f>Sheet2!AO44</f>
        <v>0.25</v>
      </c>
      <c r="C26" s="53">
        <f>Sheet2!AP44</f>
        <v>0.17</v>
      </c>
      <c r="D26" s="53">
        <f>Sheet2!AQ44</f>
        <v>0.09</v>
      </c>
      <c r="E26" s="53">
        <f>Sheet2!AT44</f>
        <v>12.35</v>
      </c>
      <c r="F26" s="53">
        <f>Sheet2!AU44</f>
        <v>12.92</v>
      </c>
      <c r="G26" s="53">
        <f>Sheet2!AV44</f>
        <v>9.61</v>
      </c>
      <c r="H26" s="53">
        <f>Sheet2!AY44</f>
        <v>31.29</v>
      </c>
      <c r="I26" s="53">
        <f>Sheet2!AZ44</f>
        <v>20.55</v>
      </c>
      <c r="J26" s="53">
        <f>Sheet2!BA44</f>
        <v>20.34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A5819-C3AC-4D1C-B1ED-D5AEE718D364}">
  <dimension ref="A1:EG71"/>
  <sheetViews>
    <sheetView topLeftCell="AK1" workbookViewId="0">
      <selection activeCell="AV16" sqref="AV16:AV17"/>
    </sheetView>
  </sheetViews>
  <sheetFormatPr defaultRowHeight="15"/>
  <sheetData>
    <row r="1" spans="1:137" ht="15.75">
      <c r="A1" s="1" t="s">
        <v>1</v>
      </c>
      <c r="B1" s="1"/>
      <c r="C1" s="1"/>
      <c r="D1" s="1"/>
      <c r="E1" s="54" t="s">
        <v>2</v>
      </c>
      <c r="F1" s="55"/>
      <c r="G1" s="55"/>
      <c r="H1" s="55"/>
      <c r="I1" s="55"/>
      <c r="J1" s="55"/>
      <c r="K1" s="2"/>
      <c r="L1" s="2"/>
      <c r="M1" s="3" t="s">
        <v>3</v>
      </c>
      <c r="N1" s="3"/>
      <c r="O1" s="3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56"/>
      <c r="AD1" s="56"/>
      <c r="AE1" s="2"/>
      <c r="AF1" s="56"/>
      <c r="AG1" s="56"/>
      <c r="AH1" s="2"/>
      <c r="AI1" s="4"/>
      <c r="AJ1" s="4"/>
      <c r="AK1" s="4"/>
      <c r="AL1" s="4"/>
      <c r="AM1" s="2"/>
      <c r="AN1" s="56"/>
      <c r="AO1" s="56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56"/>
      <c r="BE1" s="56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</row>
    <row r="2" spans="1:137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56"/>
      <c r="M2" s="56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56"/>
      <c r="AD2" s="56"/>
      <c r="AE2" s="2"/>
      <c r="AF2" s="56"/>
      <c r="AG2" s="56"/>
      <c r="AH2" s="2"/>
      <c r="AI2" s="2"/>
      <c r="AJ2" s="2"/>
      <c r="AK2" s="2"/>
      <c r="AL2" s="2"/>
      <c r="AM2" s="2"/>
      <c r="AN2" s="56"/>
      <c r="AO2" s="56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56"/>
      <c r="BE2" s="56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</row>
    <row r="3" spans="1:137">
      <c r="A3" s="2"/>
      <c r="B3" s="5" t="s">
        <v>4</v>
      </c>
      <c r="C3" s="2"/>
      <c r="D3" s="2"/>
      <c r="E3" s="2"/>
      <c r="F3" s="5" t="s">
        <v>5</v>
      </c>
      <c r="G3" s="5" t="s">
        <v>5</v>
      </c>
      <c r="H3" s="5" t="s">
        <v>5</v>
      </c>
      <c r="I3" s="5" t="s">
        <v>5</v>
      </c>
      <c r="J3" s="5" t="s">
        <v>5</v>
      </c>
      <c r="K3" s="5" t="s">
        <v>5</v>
      </c>
      <c r="L3" s="2"/>
      <c r="M3" s="5" t="s">
        <v>6</v>
      </c>
      <c r="N3" s="2"/>
      <c r="O3" s="2"/>
      <c r="P3" s="2"/>
      <c r="Q3" s="5" t="s">
        <v>5</v>
      </c>
      <c r="R3" s="5" t="s">
        <v>5</v>
      </c>
      <c r="S3" s="5" t="s">
        <v>5</v>
      </c>
      <c r="T3" s="5" t="s">
        <v>5</v>
      </c>
      <c r="U3" s="5" t="s">
        <v>5</v>
      </c>
      <c r="V3" s="5" t="s">
        <v>5</v>
      </c>
      <c r="W3" s="5" t="s">
        <v>5</v>
      </c>
      <c r="X3" s="5" t="s">
        <v>5</v>
      </c>
      <c r="Y3" s="5" t="s">
        <v>5</v>
      </c>
      <c r="Z3" s="5" t="s">
        <v>5</v>
      </c>
      <c r="AA3" s="5" t="s">
        <v>5</v>
      </c>
      <c r="AB3" s="5" t="s">
        <v>5</v>
      </c>
      <c r="AC3" s="57" t="s">
        <v>5</v>
      </c>
      <c r="AD3" s="57"/>
      <c r="AE3" s="2"/>
      <c r="AF3" s="56"/>
      <c r="AG3" s="56"/>
      <c r="AH3" s="2"/>
      <c r="AI3" s="5" t="s">
        <v>7</v>
      </c>
      <c r="AJ3" s="2"/>
      <c r="AK3" s="2"/>
      <c r="AL3" s="6" t="s">
        <v>5</v>
      </c>
      <c r="AM3" s="2" t="s">
        <v>8</v>
      </c>
      <c r="AN3" s="56"/>
      <c r="AO3" s="56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56"/>
      <c r="BE3" s="56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</row>
    <row r="4" spans="1:137" ht="35.25">
      <c r="A4" s="7" t="s">
        <v>9</v>
      </c>
      <c r="B4" s="8" t="s">
        <v>10</v>
      </c>
      <c r="C4" s="8" t="s">
        <v>11</v>
      </c>
      <c r="D4" s="8" t="s">
        <v>12</v>
      </c>
      <c r="E4" s="8" t="s">
        <v>13</v>
      </c>
      <c r="F4" s="8" t="s">
        <v>14</v>
      </c>
      <c r="G4" s="8" t="s">
        <v>5</v>
      </c>
      <c r="H4" s="8" t="s">
        <v>15</v>
      </c>
      <c r="I4" s="8" t="s">
        <v>5</v>
      </c>
      <c r="J4" s="8" t="s">
        <v>16</v>
      </c>
      <c r="K4" s="8" t="s">
        <v>5</v>
      </c>
      <c r="L4" s="2"/>
      <c r="M4" s="9" t="s">
        <v>9</v>
      </c>
      <c r="N4" s="10" t="s">
        <v>17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 t="s">
        <v>5</v>
      </c>
      <c r="U4" s="10" t="s">
        <v>5</v>
      </c>
      <c r="V4" s="10" t="s">
        <v>5</v>
      </c>
      <c r="W4" s="10" t="s">
        <v>5</v>
      </c>
      <c r="X4" s="10" t="s">
        <v>5</v>
      </c>
      <c r="Y4" s="10" t="s">
        <v>5</v>
      </c>
      <c r="Z4" s="10" t="s">
        <v>5</v>
      </c>
      <c r="AA4" s="10" t="s">
        <v>5</v>
      </c>
      <c r="AB4" s="10" t="s">
        <v>5</v>
      </c>
      <c r="AC4" s="10" t="s">
        <v>5</v>
      </c>
      <c r="AD4" s="56" t="s">
        <v>5</v>
      </c>
      <c r="AE4" s="56"/>
      <c r="AF4" s="56"/>
      <c r="AG4" s="56"/>
      <c r="AH4" s="2"/>
      <c r="AI4" s="11" t="s">
        <v>18</v>
      </c>
      <c r="AJ4" s="8" t="s">
        <v>19</v>
      </c>
      <c r="AK4" s="12" t="s">
        <v>20</v>
      </c>
      <c r="AL4" s="13" t="s">
        <v>21</v>
      </c>
      <c r="AM4" s="14"/>
      <c r="AN4" s="56"/>
      <c r="AO4" s="56"/>
      <c r="AP4" s="15"/>
      <c r="AQ4" s="15"/>
      <c r="AR4" s="2"/>
      <c r="AS4" s="2"/>
      <c r="AT4" s="15"/>
      <c r="AU4" s="15"/>
      <c r="AV4" s="15"/>
      <c r="AW4" s="2"/>
      <c r="AX4" s="2"/>
      <c r="AY4" s="15"/>
      <c r="AZ4" s="15"/>
      <c r="BA4" s="15"/>
      <c r="BB4" s="2"/>
      <c r="BC4" s="2"/>
      <c r="BD4" s="56"/>
      <c r="BE4" s="56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</row>
    <row r="5" spans="1:137">
      <c r="A5" s="16" t="s">
        <v>22</v>
      </c>
      <c r="B5" s="17">
        <v>0.1</v>
      </c>
      <c r="C5" s="17">
        <v>0.1</v>
      </c>
      <c r="D5" s="17">
        <v>0.1</v>
      </c>
      <c r="E5" s="17">
        <v>0.1</v>
      </c>
      <c r="F5" s="17">
        <v>0.1</v>
      </c>
      <c r="G5" s="17" t="s">
        <v>5</v>
      </c>
      <c r="H5" s="17">
        <v>0.24099999999999999</v>
      </c>
      <c r="I5" s="17" t="s">
        <v>5</v>
      </c>
      <c r="J5" s="17">
        <v>0.24099999999999999</v>
      </c>
      <c r="K5" s="17" t="s">
        <v>5</v>
      </c>
      <c r="L5" s="2"/>
      <c r="M5" s="18" t="s">
        <v>22</v>
      </c>
      <c r="N5" s="19" t="s">
        <v>5</v>
      </c>
      <c r="O5" s="20" t="s">
        <v>5</v>
      </c>
      <c r="P5" s="20" t="s">
        <v>5</v>
      </c>
      <c r="Q5" s="20" t="s">
        <v>5</v>
      </c>
      <c r="R5" s="20" t="s">
        <v>5</v>
      </c>
      <c r="S5" s="20" t="s">
        <v>5</v>
      </c>
      <c r="T5" s="20" t="s">
        <v>5</v>
      </c>
      <c r="U5" s="20" t="s">
        <v>5</v>
      </c>
      <c r="V5" s="20" t="s">
        <v>5</v>
      </c>
      <c r="W5" s="20" t="s">
        <v>5</v>
      </c>
      <c r="X5" s="20" t="s">
        <v>5</v>
      </c>
      <c r="Y5" s="20" t="s">
        <v>5</v>
      </c>
      <c r="Z5" s="20" t="s">
        <v>5</v>
      </c>
      <c r="AA5" s="20" t="s">
        <v>5</v>
      </c>
      <c r="AB5" s="20" t="s">
        <v>5</v>
      </c>
      <c r="AC5" s="20" t="s">
        <v>5</v>
      </c>
      <c r="AD5" s="56" t="s">
        <v>5</v>
      </c>
      <c r="AE5" s="56"/>
      <c r="AF5" s="56"/>
      <c r="AG5" s="56"/>
      <c r="AH5" s="2" t="s">
        <v>23</v>
      </c>
      <c r="AI5" s="16">
        <v>0</v>
      </c>
      <c r="AJ5" s="17">
        <v>0</v>
      </c>
      <c r="AK5" s="17">
        <v>0</v>
      </c>
      <c r="AL5" s="21" t="s">
        <v>24</v>
      </c>
      <c r="AM5" s="22" t="s">
        <v>25</v>
      </c>
      <c r="AN5" s="2"/>
      <c r="AO5" s="2" t="s">
        <v>26</v>
      </c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56"/>
      <c r="BE5" s="56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</row>
    <row r="6" spans="1:137">
      <c r="A6" s="16" t="s">
        <v>27</v>
      </c>
      <c r="B6" s="17">
        <v>8.9499999999999996E-2</v>
      </c>
      <c r="C6" s="17">
        <v>8.9499999999999996E-2</v>
      </c>
      <c r="D6" s="17">
        <v>8.9499999999999996E-2</v>
      </c>
      <c r="E6" s="17">
        <v>8.9499999999999996E-2</v>
      </c>
      <c r="F6" s="17">
        <v>8.9499999999999996E-2</v>
      </c>
      <c r="G6" s="17" t="s">
        <v>5</v>
      </c>
      <c r="H6" s="17">
        <v>0.24099999999999999</v>
      </c>
      <c r="I6" s="17" t="s">
        <v>5</v>
      </c>
      <c r="J6" s="17">
        <v>0.24099999999999999</v>
      </c>
      <c r="K6" s="17" t="s">
        <v>5</v>
      </c>
      <c r="L6" s="2"/>
      <c r="M6" s="18" t="s">
        <v>27</v>
      </c>
      <c r="N6" s="16" t="s">
        <v>5</v>
      </c>
      <c r="O6" s="17" t="s">
        <v>5</v>
      </c>
      <c r="P6" s="17" t="s">
        <v>5</v>
      </c>
      <c r="Q6" s="17" t="s">
        <v>5</v>
      </c>
      <c r="R6" s="17" t="s">
        <v>5</v>
      </c>
      <c r="S6" s="17" t="s">
        <v>5</v>
      </c>
      <c r="T6" s="17" t="s">
        <v>5</v>
      </c>
      <c r="U6" s="17" t="s">
        <v>5</v>
      </c>
      <c r="V6" s="17" t="s">
        <v>5</v>
      </c>
      <c r="W6" s="17" t="s">
        <v>5</v>
      </c>
      <c r="X6" s="17" t="s">
        <v>5</v>
      </c>
      <c r="Y6" s="17" t="s">
        <v>5</v>
      </c>
      <c r="Z6" s="17" t="s">
        <v>5</v>
      </c>
      <c r="AA6" s="17" t="s">
        <v>5</v>
      </c>
      <c r="AB6" s="17" t="s">
        <v>5</v>
      </c>
      <c r="AC6" s="17" t="s">
        <v>5</v>
      </c>
      <c r="AD6" s="56" t="s">
        <v>5</v>
      </c>
      <c r="AE6" s="56"/>
      <c r="AF6" s="56"/>
      <c r="AG6" s="56"/>
      <c r="AH6" s="2" t="s">
        <v>28</v>
      </c>
      <c r="AI6" s="16">
        <v>5.3060000000000003E-2</v>
      </c>
      <c r="AJ6" s="23">
        <v>9.9999999999999995E-8</v>
      </c>
      <c r="AK6" s="17">
        <v>9.9999999999999995E-7</v>
      </c>
      <c r="AL6" s="21" t="s">
        <v>24</v>
      </c>
      <c r="AM6" s="22" t="s">
        <v>29</v>
      </c>
      <c r="AN6" s="2"/>
      <c r="AO6" s="2" t="s">
        <v>30</v>
      </c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56"/>
      <c r="BE6" s="56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4"/>
    </row>
    <row r="7" spans="1:137">
      <c r="A7" s="16" t="s">
        <v>31</v>
      </c>
      <c r="B7" s="17">
        <v>8.9499999999999996E-2</v>
      </c>
      <c r="C7" s="17">
        <v>8.9499999999999996E-2</v>
      </c>
      <c r="D7" s="17">
        <v>8.9499999999999996E-2</v>
      </c>
      <c r="E7" s="17">
        <v>8.9499999999999996E-2</v>
      </c>
      <c r="F7" s="17">
        <v>8.9499999999999996E-2</v>
      </c>
      <c r="G7" s="17" t="s">
        <v>5</v>
      </c>
      <c r="H7" s="17">
        <v>0.24099999999999999</v>
      </c>
      <c r="I7" s="17" t="s">
        <v>5</v>
      </c>
      <c r="J7" s="17">
        <v>0.24099999999999999</v>
      </c>
      <c r="K7" s="17" t="s">
        <v>5</v>
      </c>
      <c r="L7" s="2"/>
      <c r="M7" s="18" t="s">
        <v>31</v>
      </c>
      <c r="N7" s="16" t="s">
        <v>5</v>
      </c>
      <c r="O7" s="17" t="s">
        <v>5</v>
      </c>
      <c r="P7" s="17" t="s">
        <v>5</v>
      </c>
      <c r="Q7" s="17" t="s">
        <v>5</v>
      </c>
      <c r="R7" s="17" t="s">
        <v>5</v>
      </c>
      <c r="S7" s="17" t="s">
        <v>5</v>
      </c>
      <c r="T7" s="17" t="s">
        <v>5</v>
      </c>
      <c r="U7" s="17" t="s">
        <v>5</v>
      </c>
      <c r="V7" s="17" t="s">
        <v>5</v>
      </c>
      <c r="W7" s="17" t="s">
        <v>5</v>
      </c>
      <c r="X7" s="17" t="s">
        <v>5</v>
      </c>
      <c r="Y7" s="17" t="s">
        <v>5</v>
      </c>
      <c r="Z7" s="17" t="s">
        <v>5</v>
      </c>
      <c r="AA7" s="17" t="s">
        <v>5</v>
      </c>
      <c r="AB7" s="17" t="s">
        <v>5</v>
      </c>
      <c r="AC7" s="17" t="s">
        <v>5</v>
      </c>
      <c r="AD7" s="56" t="s">
        <v>5</v>
      </c>
      <c r="AE7" s="56"/>
      <c r="AF7" s="56"/>
      <c r="AG7" s="56"/>
      <c r="AH7" s="2" t="s">
        <v>32</v>
      </c>
      <c r="AI7" s="16">
        <v>7.3959999999999998E-2</v>
      </c>
      <c r="AJ7" s="23">
        <v>5.9999999999999997E-7</v>
      </c>
      <c r="AK7" s="17">
        <v>3.0000000000000001E-6</v>
      </c>
      <c r="AL7" s="21" t="s">
        <v>24</v>
      </c>
      <c r="AM7" s="22" t="s">
        <v>29</v>
      </c>
      <c r="AN7" s="2"/>
      <c r="AO7" s="2">
        <v>1.1020000000000001</v>
      </c>
      <c r="AP7" s="2" t="s">
        <v>33</v>
      </c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56"/>
      <c r="BE7" s="56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</row>
    <row r="8" spans="1:137">
      <c r="A8" s="16" t="s">
        <v>5</v>
      </c>
      <c r="B8" s="25" t="s">
        <v>5</v>
      </c>
      <c r="C8" s="17" t="s">
        <v>5</v>
      </c>
      <c r="D8" s="17" t="s">
        <v>5</v>
      </c>
      <c r="E8" s="17" t="s">
        <v>5</v>
      </c>
      <c r="F8" s="17" t="s">
        <v>5</v>
      </c>
      <c r="G8" s="17" t="s">
        <v>5</v>
      </c>
      <c r="H8" s="17" t="s">
        <v>5</v>
      </c>
      <c r="I8" s="17" t="s">
        <v>5</v>
      </c>
      <c r="J8" s="17" t="s">
        <v>5</v>
      </c>
      <c r="K8" s="17" t="s">
        <v>5</v>
      </c>
      <c r="L8" s="2"/>
      <c r="M8" s="18" t="s">
        <v>5</v>
      </c>
      <c r="N8" s="16" t="s">
        <v>5</v>
      </c>
      <c r="O8" s="17" t="s">
        <v>5</v>
      </c>
      <c r="P8" s="17" t="s">
        <v>5</v>
      </c>
      <c r="Q8" s="17" t="s">
        <v>5</v>
      </c>
      <c r="R8" s="17" t="s">
        <v>5</v>
      </c>
      <c r="S8" s="17" t="s">
        <v>5</v>
      </c>
      <c r="T8" s="17" t="s">
        <v>5</v>
      </c>
      <c r="U8" s="17" t="s">
        <v>5</v>
      </c>
      <c r="V8" s="17" t="s">
        <v>5</v>
      </c>
      <c r="W8" s="17" t="s">
        <v>5</v>
      </c>
      <c r="X8" s="17" t="s">
        <v>5</v>
      </c>
      <c r="Y8" s="17" t="s">
        <v>5</v>
      </c>
      <c r="Z8" s="17" t="s">
        <v>5</v>
      </c>
      <c r="AA8" s="17" t="s">
        <v>5</v>
      </c>
      <c r="AB8" s="17" t="s">
        <v>5</v>
      </c>
      <c r="AC8" s="17" t="s">
        <v>5</v>
      </c>
      <c r="AD8" s="56" t="s">
        <v>5</v>
      </c>
      <c r="AE8" s="56"/>
      <c r="AF8" s="56"/>
      <c r="AG8" s="56"/>
      <c r="AH8" s="2"/>
      <c r="AI8" s="2"/>
      <c r="AJ8" s="2"/>
      <c r="AK8" s="2"/>
      <c r="AL8" s="2"/>
      <c r="AM8" s="2"/>
      <c r="AN8" s="2"/>
      <c r="AO8" s="2">
        <v>8.9200000000000008E-3</v>
      </c>
      <c r="AP8" s="2" t="s">
        <v>34</v>
      </c>
      <c r="AQ8" s="2"/>
      <c r="AR8" s="2"/>
      <c r="AS8" s="2" t="s">
        <v>35</v>
      </c>
      <c r="AT8" s="2"/>
      <c r="AU8" s="2"/>
      <c r="AV8" s="2"/>
      <c r="AW8" s="2"/>
      <c r="AX8" s="2"/>
      <c r="AY8" s="2"/>
      <c r="AZ8" s="2"/>
      <c r="BA8" s="2"/>
      <c r="BB8" s="2"/>
      <c r="BC8" s="2"/>
      <c r="BD8" s="56"/>
      <c r="BE8" s="56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</row>
    <row r="9" spans="1:137">
      <c r="A9" s="16" t="s">
        <v>5</v>
      </c>
      <c r="B9" s="17" t="s">
        <v>5</v>
      </c>
      <c r="C9" s="17" t="s">
        <v>5</v>
      </c>
      <c r="D9" s="17" t="s">
        <v>5</v>
      </c>
      <c r="E9" s="17" t="s">
        <v>5</v>
      </c>
      <c r="F9" s="17" t="s">
        <v>5</v>
      </c>
      <c r="G9" s="17" t="s">
        <v>5</v>
      </c>
      <c r="H9" s="17" t="s">
        <v>5</v>
      </c>
      <c r="I9" s="17" t="s">
        <v>5</v>
      </c>
      <c r="J9" s="17" t="s">
        <v>5</v>
      </c>
      <c r="K9" s="17" t="s">
        <v>5</v>
      </c>
      <c r="L9" s="2"/>
      <c r="M9" s="18" t="s">
        <v>5</v>
      </c>
      <c r="N9" s="16" t="s">
        <v>5</v>
      </c>
      <c r="O9" s="17" t="s">
        <v>5</v>
      </c>
      <c r="P9" s="17" t="s">
        <v>5</v>
      </c>
      <c r="Q9" s="17" t="s">
        <v>5</v>
      </c>
      <c r="R9" s="17" t="s">
        <v>5</v>
      </c>
      <c r="S9" s="17" t="s">
        <v>5</v>
      </c>
      <c r="T9" s="17" t="s">
        <v>5</v>
      </c>
      <c r="U9" s="17" t="s">
        <v>5</v>
      </c>
      <c r="V9" s="17" t="s">
        <v>5</v>
      </c>
      <c r="W9" s="17" t="s">
        <v>5</v>
      </c>
      <c r="X9" s="17" t="s">
        <v>5</v>
      </c>
      <c r="Y9" s="17" t="s">
        <v>5</v>
      </c>
      <c r="Z9" s="17" t="s">
        <v>5</v>
      </c>
      <c r="AA9" s="17" t="s">
        <v>5</v>
      </c>
      <c r="AB9" s="17" t="s">
        <v>5</v>
      </c>
      <c r="AC9" s="17" t="s">
        <v>5</v>
      </c>
      <c r="AD9" s="56" t="s">
        <v>5</v>
      </c>
      <c r="AE9" s="56"/>
      <c r="AF9" s="56"/>
      <c r="AG9" s="56"/>
      <c r="AH9" s="2"/>
      <c r="AI9" s="26"/>
      <c r="AJ9" s="26"/>
      <c r="AK9" s="26"/>
      <c r="AL9" s="27" t="s">
        <v>24</v>
      </c>
      <c r="AM9" s="2" t="s">
        <v>36</v>
      </c>
      <c r="AN9" s="56"/>
      <c r="AO9" s="56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56"/>
      <c r="BE9" s="56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3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</row>
    <row r="10" spans="1:137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56"/>
      <c r="M10" s="56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56"/>
      <c r="AD10" s="56"/>
      <c r="AE10" s="2"/>
      <c r="AF10" s="56"/>
      <c r="AG10" s="56"/>
      <c r="AH10" s="2"/>
      <c r="AI10" s="2"/>
      <c r="AJ10" s="2"/>
      <c r="AK10" s="2"/>
      <c r="AL10" s="2"/>
      <c r="AM10" s="2"/>
      <c r="AN10" s="56"/>
      <c r="AO10" s="56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56"/>
      <c r="BE10" s="56"/>
      <c r="BF10" s="3"/>
      <c r="BG10" s="2"/>
      <c r="BH10" s="2"/>
      <c r="BI10" s="2"/>
      <c r="BJ10" s="2"/>
      <c r="BK10" s="3"/>
      <c r="BL10" s="2"/>
      <c r="BM10" s="2"/>
      <c r="BN10" s="2"/>
      <c r="BO10" s="2"/>
      <c r="BP10" s="2"/>
      <c r="BQ10" s="2"/>
      <c r="BR10" s="3"/>
      <c r="BS10" s="2"/>
      <c r="BT10" s="2"/>
      <c r="BU10" s="2"/>
      <c r="BV10" s="2"/>
      <c r="BW10" s="2"/>
      <c r="BX10" s="2"/>
      <c r="BY10" s="3"/>
      <c r="BZ10" s="2"/>
      <c r="CA10" s="2"/>
      <c r="CB10" s="2"/>
      <c r="CC10" s="2"/>
      <c r="CD10" s="2"/>
      <c r="CE10" s="2"/>
      <c r="CF10" s="3"/>
      <c r="CG10" s="2"/>
      <c r="CH10" s="2"/>
      <c r="CI10" s="2"/>
      <c r="CJ10" s="2"/>
      <c r="CK10" s="2"/>
      <c r="CL10" s="2"/>
      <c r="CM10" s="3"/>
      <c r="CN10" s="2"/>
      <c r="CO10" s="2"/>
      <c r="CP10" s="2"/>
      <c r="CQ10" s="2"/>
      <c r="CR10" s="2"/>
      <c r="CS10" s="2"/>
      <c r="CT10" s="3"/>
      <c r="CU10" s="2"/>
      <c r="CV10" s="2"/>
      <c r="CW10" s="2"/>
      <c r="CX10" s="2"/>
      <c r="CY10" s="2"/>
      <c r="CZ10" s="2"/>
      <c r="DA10" s="3"/>
      <c r="DB10" s="2"/>
      <c r="DC10" s="2"/>
      <c r="DD10" s="2"/>
      <c r="DE10" s="2"/>
      <c r="DF10" s="2"/>
      <c r="DG10" s="2"/>
      <c r="DH10" s="3"/>
      <c r="DI10" s="2"/>
      <c r="DJ10" s="2"/>
      <c r="DK10" s="2"/>
      <c r="DL10" s="2"/>
      <c r="DM10" s="2"/>
      <c r="DN10" s="2"/>
      <c r="DO10" s="3"/>
      <c r="DP10" s="2"/>
      <c r="DQ10" s="2"/>
      <c r="DR10" s="2"/>
      <c r="DS10" s="2"/>
      <c r="DT10" s="2"/>
      <c r="DU10" s="2"/>
      <c r="DV10" s="3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</row>
    <row r="11" spans="1:137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56"/>
      <c r="M11" s="56"/>
      <c r="N11" s="5" t="s">
        <v>37</v>
      </c>
      <c r="O11" s="2"/>
      <c r="P11" s="2"/>
      <c r="Q11" s="2"/>
      <c r="R11" s="2"/>
      <c r="S11" s="5" t="s">
        <v>5</v>
      </c>
      <c r="T11" s="5" t="s">
        <v>5</v>
      </c>
      <c r="U11" s="5" t="s">
        <v>5</v>
      </c>
      <c r="V11" s="5" t="s">
        <v>5</v>
      </c>
      <c r="W11" s="5" t="s">
        <v>5</v>
      </c>
      <c r="X11" s="5" t="s">
        <v>5</v>
      </c>
      <c r="Y11" s="5" t="s">
        <v>5</v>
      </c>
      <c r="Z11" s="5" t="s">
        <v>5</v>
      </c>
      <c r="AA11" s="5" t="s">
        <v>5</v>
      </c>
      <c r="AB11" s="5" t="s">
        <v>5</v>
      </c>
      <c r="AC11" s="57" t="s">
        <v>5</v>
      </c>
      <c r="AD11" s="57"/>
      <c r="AE11" s="2"/>
      <c r="AF11" s="56"/>
      <c r="AG11" s="56"/>
      <c r="AH11" s="2"/>
      <c r="AI11" s="2"/>
      <c r="AJ11" s="2"/>
      <c r="AK11" s="2"/>
      <c r="AL11" s="2"/>
      <c r="AM11" s="2"/>
      <c r="AN11" s="56"/>
      <c r="AO11" s="56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56"/>
      <c r="BE11" s="56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</row>
    <row r="12" spans="1:137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56"/>
      <c r="M12" s="58"/>
      <c r="N12" s="17">
        <v>0</v>
      </c>
      <c r="O12" s="17" t="s">
        <v>5</v>
      </c>
      <c r="P12" s="17" t="s">
        <v>5</v>
      </c>
      <c r="Q12" s="17" t="s">
        <v>5</v>
      </c>
      <c r="R12" s="17" t="s">
        <v>5</v>
      </c>
      <c r="S12" s="17" t="s">
        <v>5</v>
      </c>
      <c r="T12" s="17" t="s">
        <v>5</v>
      </c>
      <c r="U12" s="17" t="s">
        <v>5</v>
      </c>
      <c r="V12" s="17" t="s">
        <v>5</v>
      </c>
      <c r="W12" s="17" t="s">
        <v>5</v>
      </c>
      <c r="X12" s="17" t="s">
        <v>5</v>
      </c>
      <c r="Y12" s="17" t="s">
        <v>5</v>
      </c>
      <c r="Z12" s="17" t="s">
        <v>5</v>
      </c>
      <c r="AA12" s="17" t="s">
        <v>5</v>
      </c>
      <c r="AB12" s="17" t="s">
        <v>5</v>
      </c>
      <c r="AC12" s="17" t="s">
        <v>5</v>
      </c>
      <c r="AD12" s="56" t="s">
        <v>5</v>
      </c>
      <c r="AE12" s="56"/>
      <c r="AF12" s="56"/>
      <c r="AG12" s="56"/>
      <c r="AH12" s="2"/>
      <c r="AI12" s="2"/>
      <c r="AJ12" s="2"/>
      <c r="AK12" s="2"/>
      <c r="AL12" s="2"/>
      <c r="AM12" s="2"/>
      <c r="AN12" s="56"/>
      <c r="AO12" s="56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56"/>
      <c r="BE12" s="56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</row>
    <row r="13" spans="1:137">
      <c r="A13" s="4"/>
      <c r="B13" s="2"/>
      <c r="C13" s="2"/>
      <c r="D13" s="2"/>
      <c r="E13" s="2"/>
      <c r="F13" s="2"/>
      <c r="G13" s="2"/>
      <c r="H13" s="2"/>
      <c r="I13" s="2"/>
      <c r="J13" s="2"/>
      <c r="K13" s="2"/>
      <c r="L13" s="56"/>
      <c r="M13" s="56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56"/>
      <c r="AD13" s="56"/>
      <c r="AE13" s="2"/>
      <c r="AF13" s="56"/>
      <c r="AG13" s="56"/>
      <c r="AH13" s="2"/>
      <c r="AI13" s="2"/>
      <c r="AJ13" s="2"/>
      <c r="AK13" s="2"/>
      <c r="AL13" s="2"/>
      <c r="AM13" s="2"/>
      <c r="AN13" s="56"/>
      <c r="AO13" s="56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56"/>
      <c r="BE13" s="56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</row>
    <row r="14" spans="1:137">
      <c r="A14" s="4"/>
      <c r="B14" s="2" t="s">
        <v>38</v>
      </c>
      <c r="C14" s="2"/>
      <c r="D14" s="2"/>
      <c r="E14" s="2"/>
      <c r="F14" s="2"/>
      <c r="G14" s="19">
        <v>1</v>
      </c>
      <c r="H14" s="2" t="s">
        <v>39</v>
      </c>
      <c r="I14" s="2"/>
      <c r="J14" s="2"/>
      <c r="K14" s="2"/>
      <c r="L14" s="56"/>
      <c r="M14" s="58"/>
      <c r="N14" s="20">
        <v>1</v>
      </c>
      <c r="O14" s="2" t="s">
        <v>40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56"/>
      <c r="AD14" s="56"/>
      <c r="AE14" s="2" t="s">
        <v>41</v>
      </c>
      <c r="AF14" s="56"/>
      <c r="AG14" s="56"/>
      <c r="AH14" s="2" t="s">
        <v>42</v>
      </c>
      <c r="AI14" s="2"/>
      <c r="AJ14" s="2"/>
      <c r="AK14" s="2"/>
      <c r="AL14" s="2"/>
      <c r="AM14" s="2"/>
      <c r="AN14" s="2"/>
      <c r="AO14" s="5" t="s">
        <v>43</v>
      </c>
      <c r="AP14" s="2"/>
      <c r="AQ14" s="2"/>
      <c r="AR14" s="2"/>
      <c r="AS14" s="2"/>
      <c r="AT14" s="2"/>
      <c r="AU14" s="5" t="s">
        <v>5</v>
      </c>
      <c r="AV14" s="5" t="s">
        <v>5</v>
      </c>
      <c r="AW14" s="5" t="s">
        <v>5</v>
      </c>
      <c r="AX14" s="5" t="s">
        <v>5</v>
      </c>
      <c r="AY14" s="2"/>
      <c r="AZ14" s="2"/>
      <c r="BA14" s="2"/>
      <c r="BB14" s="2"/>
      <c r="BC14" s="2"/>
      <c r="BD14" s="2"/>
      <c r="BE14" s="2" t="s">
        <v>44</v>
      </c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</row>
    <row r="15" spans="1:137">
      <c r="A15" s="2"/>
      <c r="B15" s="28" t="s">
        <v>45</v>
      </c>
      <c r="C15" s="28" t="s">
        <v>46</v>
      </c>
      <c r="D15" s="28" t="s">
        <v>47</v>
      </c>
      <c r="E15" s="28" t="s">
        <v>48</v>
      </c>
      <c r="F15" s="28" t="s">
        <v>49</v>
      </c>
      <c r="G15" s="28" t="s">
        <v>50</v>
      </c>
      <c r="H15" s="28" t="s">
        <v>51</v>
      </c>
      <c r="I15" s="28" t="s">
        <v>52</v>
      </c>
      <c r="J15" s="28" t="s">
        <v>53</v>
      </c>
      <c r="K15" s="28" t="s">
        <v>54</v>
      </c>
      <c r="L15" s="56"/>
      <c r="M15" s="56"/>
      <c r="N15" s="29">
        <v>1</v>
      </c>
      <c r="O15" s="29">
        <v>2</v>
      </c>
      <c r="P15" s="29">
        <v>3</v>
      </c>
      <c r="Q15" s="29">
        <v>4</v>
      </c>
      <c r="R15" s="29">
        <v>5</v>
      </c>
      <c r="S15" s="29">
        <v>6</v>
      </c>
      <c r="T15" s="29">
        <v>7</v>
      </c>
      <c r="U15" s="29">
        <v>8</v>
      </c>
      <c r="V15" s="29">
        <v>9</v>
      </c>
      <c r="W15" s="29">
        <v>10</v>
      </c>
      <c r="X15" s="29">
        <v>11</v>
      </c>
      <c r="Y15" s="29">
        <v>12</v>
      </c>
      <c r="Z15" s="29">
        <v>13</v>
      </c>
      <c r="AA15" s="29">
        <v>14</v>
      </c>
      <c r="AB15" s="29">
        <v>15</v>
      </c>
      <c r="AC15" s="59">
        <v>16</v>
      </c>
      <c r="AD15" s="59"/>
      <c r="AE15" s="5" t="s">
        <v>55</v>
      </c>
      <c r="AF15" s="57" t="s">
        <v>5</v>
      </c>
      <c r="AG15" s="57"/>
      <c r="AH15" s="5" t="s">
        <v>56</v>
      </c>
      <c r="AI15" s="2"/>
      <c r="AJ15" s="2"/>
      <c r="AK15" s="2"/>
      <c r="AL15" s="5" t="s">
        <v>5</v>
      </c>
      <c r="AM15" s="5" t="s">
        <v>5</v>
      </c>
      <c r="AN15" s="2"/>
      <c r="AO15" s="30" t="s">
        <v>57</v>
      </c>
      <c r="AP15" s="2"/>
      <c r="AQ15" s="2" t="s">
        <v>5</v>
      </c>
      <c r="AR15" s="2" t="s">
        <v>5</v>
      </c>
      <c r="AS15" s="31" t="s">
        <v>5</v>
      </c>
      <c r="AT15" s="30" t="s">
        <v>58</v>
      </c>
      <c r="AU15" s="2"/>
      <c r="AV15" s="2" t="s">
        <v>5</v>
      </c>
      <c r="AW15" s="2" t="s">
        <v>5</v>
      </c>
      <c r="AX15" s="31" t="s">
        <v>5</v>
      </c>
      <c r="AY15" s="30" t="s">
        <v>59</v>
      </c>
      <c r="AZ15" s="2"/>
      <c r="BA15" s="32" t="s">
        <v>5</v>
      </c>
      <c r="BB15" s="32" t="s">
        <v>5</v>
      </c>
      <c r="BC15" s="33" t="s">
        <v>5</v>
      </c>
      <c r="BD15" s="2"/>
      <c r="BE15" s="60" t="s">
        <v>60</v>
      </c>
      <c r="BF15" s="61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</row>
    <row r="16" spans="1:137">
      <c r="A16" s="34" t="s">
        <v>61</v>
      </c>
      <c r="B16" s="35" t="s">
        <v>10</v>
      </c>
      <c r="C16" s="35" t="s">
        <v>11</v>
      </c>
      <c r="D16" s="35" t="s">
        <v>12</v>
      </c>
      <c r="E16" s="35" t="s">
        <v>13</v>
      </c>
      <c r="F16" s="35" t="s">
        <v>14</v>
      </c>
      <c r="G16" s="35" t="s">
        <v>5</v>
      </c>
      <c r="H16" s="35" t="s">
        <v>15</v>
      </c>
      <c r="I16" s="35" t="s">
        <v>62</v>
      </c>
      <c r="J16" s="35" t="s">
        <v>16</v>
      </c>
      <c r="K16" s="35" t="s">
        <v>63</v>
      </c>
      <c r="L16" s="62" t="s">
        <v>5</v>
      </c>
      <c r="M16" s="58"/>
      <c r="N16" s="36" t="s">
        <v>17</v>
      </c>
      <c r="O16" s="36" t="s">
        <v>64</v>
      </c>
      <c r="P16" s="36" t="s">
        <v>65</v>
      </c>
      <c r="Q16" s="36" t="s">
        <v>66</v>
      </c>
      <c r="R16" s="36" t="s">
        <v>67</v>
      </c>
      <c r="S16" s="36" t="s">
        <v>68</v>
      </c>
      <c r="T16" s="36" t="s">
        <v>69</v>
      </c>
      <c r="U16" s="36" t="s">
        <v>70</v>
      </c>
      <c r="V16" s="36" t="s">
        <v>71</v>
      </c>
      <c r="W16" s="36" t="s">
        <v>5</v>
      </c>
      <c r="X16" s="36" t="s">
        <v>5</v>
      </c>
      <c r="Y16" s="36" t="s">
        <v>5</v>
      </c>
      <c r="Z16" s="36" t="s">
        <v>5</v>
      </c>
      <c r="AA16" s="36" t="s">
        <v>5</v>
      </c>
      <c r="AB16" s="36" t="s">
        <v>5</v>
      </c>
      <c r="AC16" s="36" t="s">
        <v>5</v>
      </c>
      <c r="AD16" s="37" t="s">
        <v>5</v>
      </c>
      <c r="AE16" s="38" t="s">
        <v>72</v>
      </c>
      <c r="AF16" s="39" t="s">
        <v>5</v>
      </c>
      <c r="AG16" s="63" t="s">
        <v>5</v>
      </c>
      <c r="AH16" s="38" t="s">
        <v>10</v>
      </c>
      <c r="AI16" s="40" t="s">
        <v>11</v>
      </c>
      <c r="AJ16" s="40" t="s">
        <v>12</v>
      </c>
      <c r="AK16" s="40" t="s">
        <v>13</v>
      </c>
      <c r="AL16" s="40" t="s">
        <v>73</v>
      </c>
      <c r="AM16" s="41" t="s">
        <v>74</v>
      </c>
      <c r="AN16" s="63" t="s">
        <v>5</v>
      </c>
      <c r="AO16" s="38" t="s">
        <v>22</v>
      </c>
      <c r="AP16" s="40" t="s">
        <v>75</v>
      </c>
      <c r="AQ16" s="40" t="s">
        <v>76</v>
      </c>
      <c r="AR16" s="42">
        <v>0</v>
      </c>
      <c r="AS16" s="43">
        <v>0</v>
      </c>
      <c r="AT16" s="38" t="s">
        <v>22</v>
      </c>
      <c r="AU16" s="40" t="s">
        <v>75</v>
      </c>
      <c r="AV16" s="40" t="s">
        <v>76</v>
      </c>
      <c r="AW16" s="42">
        <v>0</v>
      </c>
      <c r="AX16" s="43">
        <v>0</v>
      </c>
      <c r="AY16" s="38" t="s">
        <v>22</v>
      </c>
      <c r="AZ16" s="40" t="s">
        <v>75</v>
      </c>
      <c r="BA16" s="40" t="s">
        <v>76</v>
      </c>
      <c r="BB16" s="42">
        <v>0</v>
      </c>
      <c r="BC16" s="43">
        <v>0</v>
      </c>
      <c r="BD16" s="63" t="s">
        <v>5</v>
      </c>
      <c r="BE16" s="38" t="s">
        <v>77</v>
      </c>
      <c r="BF16" s="41" t="s">
        <v>78</v>
      </c>
      <c r="BG16" s="38" t="s">
        <v>5</v>
      </c>
      <c r="BH16" s="40"/>
      <c r="BI16" s="40"/>
      <c r="BJ16" s="40"/>
      <c r="BK16" s="40"/>
      <c r="BL16" s="40"/>
      <c r="BM16" s="40"/>
      <c r="BN16" s="40"/>
      <c r="BO16" s="40"/>
      <c r="BP16" s="40"/>
      <c r="BQ16" s="56"/>
      <c r="BR16" s="40"/>
      <c r="BS16" s="40"/>
      <c r="BT16" s="40"/>
      <c r="BU16" s="40"/>
      <c r="BV16" s="40"/>
      <c r="BW16" s="40"/>
      <c r="BX16" s="56"/>
      <c r="BY16" s="40"/>
      <c r="BZ16" s="40"/>
      <c r="CA16" s="40"/>
      <c r="CB16" s="40"/>
      <c r="CC16" s="40"/>
      <c r="CD16" s="40"/>
      <c r="CE16" s="56"/>
      <c r="CF16" s="40"/>
      <c r="CG16" s="40"/>
      <c r="CH16" s="40"/>
      <c r="CI16" s="40"/>
      <c r="CJ16" s="40"/>
      <c r="CK16" s="40"/>
      <c r="CL16" s="56"/>
      <c r="CM16" s="40"/>
      <c r="CN16" s="40"/>
      <c r="CO16" s="40"/>
      <c r="CP16" s="40"/>
      <c r="CQ16" s="40"/>
      <c r="CR16" s="40"/>
      <c r="CS16" s="56"/>
      <c r="CT16" s="40"/>
      <c r="CU16" s="40"/>
      <c r="CV16" s="40"/>
      <c r="CW16" s="40"/>
      <c r="CX16" s="40"/>
      <c r="CY16" s="40"/>
      <c r="CZ16" s="56"/>
      <c r="DA16" s="40"/>
      <c r="DB16" s="40"/>
      <c r="DC16" s="40"/>
      <c r="DD16" s="40"/>
      <c r="DE16" s="40"/>
      <c r="DF16" s="40"/>
      <c r="DG16" s="56"/>
      <c r="DH16" s="40"/>
      <c r="DI16" s="40"/>
      <c r="DJ16" s="40"/>
      <c r="DK16" s="40"/>
      <c r="DL16" s="40"/>
      <c r="DM16" s="40"/>
      <c r="DN16" s="56"/>
      <c r="DO16" s="40"/>
      <c r="DP16" s="40"/>
      <c r="DQ16" s="40"/>
      <c r="DR16" s="40"/>
      <c r="DS16" s="40"/>
      <c r="DT16" s="40"/>
      <c r="DU16" s="56"/>
      <c r="DV16" s="40"/>
      <c r="DW16" s="40"/>
      <c r="DX16" s="40"/>
      <c r="DY16" s="40"/>
      <c r="DZ16" s="40"/>
      <c r="EA16" s="40"/>
      <c r="EB16" s="56"/>
      <c r="EC16" s="56"/>
      <c r="ED16" s="56"/>
      <c r="EE16" s="56"/>
      <c r="EF16" s="56"/>
      <c r="EG16" s="56"/>
    </row>
    <row r="17" spans="1:137">
      <c r="A17" s="34" t="s">
        <v>79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62"/>
      <c r="M17" s="58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37"/>
      <c r="AE17" s="38"/>
      <c r="AF17" s="39"/>
      <c r="AG17" s="63"/>
      <c r="AH17" s="38"/>
      <c r="AI17" s="40"/>
      <c r="AJ17" s="40"/>
      <c r="AK17" s="40"/>
      <c r="AL17" s="40"/>
      <c r="AM17" s="41"/>
      <c r="AN17" s="63"/>
      <c r="AO17" s="38"/>
      <c r="AP17" s="40"/>
      <c r="AQ17" s="40"/>
      <c r="AR17" s="42"/>
      <c r="AS17" s="43"/>
      <c r="AT17" s="38"/>
      <c r="AU17" s="40"/>
      <c r="AV17" s="40"/>
      <c r="AW17" s="42"/>
      <c r="AX17" s="43"/>
      <c r="AY17" s="38"/>
      <c r="AZ17" s="40"/>
      <c r="BA17" s="40"/>
      <c r="BB17" s="42"/>
      <c r="BC17" s="43"/>
      <c r="BD17" s="63"/>
      <c r="BE17" s="38"/>
      <c r="BF17" s="41"/>
      <c r="BG17" s="38"/>
      <c r="BH17" s="40"/>
      <c r="BI17" s="40"/>
      <c r="BJ17" s="40"/>
      <c r="BK17" s="40"/>
      <c r="BL17" s="40"/>
      <c r="BM17" s="40"/>
      <c r="BN17" s="40"/>
      <c r="BO17" s="40"/>
      <c r="BP17" s="40"/>
      <c r="BQ17" s="56"/>
      <c r="BR17" s="40"/>
      <c r="BS17" s="40"/>
      <c r="BT17" s="40"/>
      <c r="BU17" s="40"/>
      <c r="BV17" s="40"/>
      <c r="BW17" s="40"/>
      <c r="BX17" s="56"/>
      <c r="BY17" s="40"/>
      <c r="BZ17" s="40"/>
      <c r="CA17" s="40"/>
      <c r="CB17" s="40"/>
      <c r="CC17" s="40"/>
      <c r="CD17" s="40"/>
      <c r="CE17" s="56"/>
      <c r="CF17" s="40"/>
      <c r="CG17" s="40"/>
      <c r="CH17" s="40"/>
      <c r="CI17" s="40"/>
      <c r="CJ17" s="40"/>
      <c r="CK17" s="40"/>
      <c r="CL17" s="56"/>
      <c r="CM17" s="40"/>
      <c r="CN17" s="40"/>
      <c r="CO17" s="40"/>
      <c r="CP17" s="40"/>
      <c r="CQ17" s="40"/>
      <c r="CR17" s="40"/>
      <c r="CS17" s="56"/>
      <c r="CT17" s="40"/>
      <c r="CU17" s="40"/>
      <c r="CV17" s="40"/>
      <c r="CW17" s="40"/>
      <c r="CX17" s="40"/>
      <c r="CY17" s="40"/>
      <c r="CZ17" s="56"/>
      <c r="DA17" s="40"/>
      <c r="DB17" s="40"/>
      <c r="DC17" s="40"/>
      <c r="DD17" s="40"/>
      <c r="DE17" s="40"/>
      <c r="DF17" s="40"/>
      <c r="DG17" s="56"/>
      <c r="DH17" s="40"/>
      <c r="DI17" s="40"/>
      <c r="DJ17" s="40"/>
      <c r="DK17" s="40"/>
      <c r="DL17" s="40"/>
      <c r="DM17" s="40"/>
      <c r="DN17" s="56"/>
      <c r="DO17" s="40"/>
      <c r="DP17" s="40"/>
      <c r="DQ17" s="40"/>
      <c r="DR17" s="40"/>
      <c r="DS17" s="40"/>
      <c r="DT17" s="40"/>
      <c r="DU17" s="56"/>
      <c r="DV17" s="40"/>
      <c r="DW17" s="40"/>
      <c r="DX17" s="40"/>
      <c r="DY17" s="40"/>
      <c r="DZ17" s="40"/>
      <c r="EA17" s="40"/>
      <c r="EB17" s="56"/>
      <c r="EC17" s="56"/>
      <c r="ED17" s="56"/>
      <c r="EE17" s="56"/>
      <c r="EF17" s="56"/>
      <c r="EG17" s="56"/>
    </row>
    <row r="18" spans="1:137">
      <c r="A18" s="4"/>
      <c r="B18" s="4"/>
      <c r="C18" s="4"/>
      <c r="D18" s="4"/>
      <c r="E18" s="4"/>
      <c r="F18" s="4"/>
      <c r="G18" s="4"/>
      <c r="H18" s="2"/>
      <c r="I18" s="2"/>
      <c r="J18" s="2"/>
      <c r="K18" s="2"/>
      <c r="L18" s="2"/>
      <c r="M18" s="2" t="s">
        <v>80</v>
      </c>
      <c r="N18" s="45" t="s">
        <v>17</v>
      </c>
      <c r="O18" s="46" t="s">
        <v>81</v>
      </c>
      <c r="P18" s="46" t="s">
        <v>81</v>
      </c>
      <c r="Q18" s="46" t="s">
        <v>81</v>
      </c>
      <c r="R18" s="46" t="s">
        <v>82</v>
      </c>
      <c r="S18" s="46" t="s">
        <v>82</v>
      </c>
      <c r="T18" s="46" t="s">
        <v>82</v>
      </c>
      <c r="U18" s="46" t="s">
        <v>81</v>
      </c>
      <c r="V18" s="46" t="s">
        <v>81</v>
      </c>
      <c r="W18" s="46" t="s">
        <v>5</v>
      </c>
      <c r="X18" s="46" t="s">
        <v>5</v>
      </c>
      <c r="Y18" s="46" t="s">
        <v>5</v>
      </c>
      <c r="Z18" s="46" t="s">
        <v>5</v>
      </c>
      <c r="AA18" s="46" t="s">
        <v>5</v>
      </c>
      <c r="AB18" s="46" t="s">
        <v>5</v>
      </c>
      <c r="AC18" s="46" t="s">
        <v>5</v>
      </c>
      <c r="AD18" s="2"/>
      <c r="AE18" s="47" t="s">
        <v>5</v>
      </c>
      <c r="AF18" s="31" t="s">
        <v>5</v>
      </c>
      <c r="AG18" s="2"/>
      <c r="AH18" s="47" t="s">
        <v>5</v>
      </c>
      <c r="AI18" s="2"/>
      <c r="AJ18" s="2"/>
      <c r="AK18" s="2"/>
      <c r="AL18" s="2"/>
      <c r="AM18" s="31" t="s">
        <v>5</v>
      </c>
      <c r="AN18" s="2"/>
      <c r="AO18" s="47" t="s">
        <v>5</v>
      </c>
      <c r="AP18" s="2"/>
      <c r="AQ18" s="2"/>
      <c r="AR18" s="2"/>
      <c r="AS18" s="31" t="s">
        <v>5</v>
      </c>
      <c r="AT18" s="2" t="s">
        <v>5</v>
      </c>
      <c r="AU18" s="2"/>
      <c r="AV18" s="2"/>
      <c r="AW18" s="2"/>
      <c r="AX18" s="31" t="s">
        <v>5</v>
      </c>
      <c r="AY18" s="2" t="s">
        <v>5</v>
      </c>
      <c r="AZ18" s="2"/>
      <c r="BA18" s="2"/>
      <c r="BB18" s="2"/>
      <c r="BC18" s="31" t="s">
        <v>5</v>
      </c>
      <c r="BD18" s="2"/>
      <c r="BE18" s="47" t="s">
        <v>83</v>
      </c>
      <c r="BF18" s="31" t="s">
        <v>5</v>
      </c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</row>
    <row r="19" spans="1:137">
      <c r="A19" s="2"/>
      <c r="B19" s="2" t="s">
        <v>25</v>
      </c>
      <c r="C19" s="2" t="s">
        <v>25</v>
      </c>
      <c r="D19" s="2" t="s">
        <v>25</v>
      </c>
      <c r="E19" s="2" t="s">
        <v>25</v>
      </c>
      <c r="F19" s="2" t="s">
        <v>25</v>
      </c>
      <c r="G19" s="2" t="s">
        <v>25</v>
      </c>
      <c r="H19" s="2" t="s">
        <v>84</v>
      </c>
      <c r="I19" s="2" t="s">
        <v>84</v>
      </c>
      <c r="J19" s="2" t="s">
        <v>84</v>
      </c>
      <c r="K19" s="2" t="s">
        <v>84</v>
      </c>
      <c r="L19" s="2"/>
      <c r="M19" s="2"/>
      <c r="N19" s="2" t="s">
        <v>29</v>
      </c>
      <c r="O19" s="2" t="s">
        <v>29</v>
      </c>
      <c r="P19" s="2" t="s">
        <v>29</v>
      </c>
      <c r="Q19" s="2" t="s">
        <v>29</v>
      </c>
      <c r="R19" s="2" t="s">
        <v>29</v>
      </c>
      <c r="S19" s="2" t="s">
        <v>29</v>
      </c>
      <c r="T19" s="2" t="s">
        <v>29</v>
      </c>
      <c r="U19" s="2" t="s">
        <v>29</v>
      </c>
      <c r="V19" s="2" t="s">
        <v>29</v>
      </c>
      <c r="W19" s="2" t="s">
        <v>29</v>
      </c>
      <c r="X19" s="2" t="s">
        <v>29</v>
      </c>
      <c r="Y19" s="2" t="s">
        <v>29</v>
      </c>
      <c r="Z19" s="2" t="s">
        <v>29</v>
      </c>
      <c r="AA19" s="2" t="s">
        <v>29</v>
      </c>
      <c r="AB19" s="2" t="s">
        <v>29</v>
      </c>
      <c r="AC19" s="2" t="s">
        <v>29</v>
      </c>
      <c r="AD19" s="2"/>
      <c r="AE19" s="18" t="s">
        <v>85</v>
      </c>
      <c r="AF19" s="22" t="s">
        <v>86</v>
      </c>
      <c r="AG19" s="2"/>
      <c r="AH19" s="18" t="s">
        <v>25</v>
      </c>
      <c r="AI19" s="5" t="s">
        <v>25</v>
      </c>
      <c r="AJ19" s="5" t="s">
        <v>25</v>
      </c>
      <c r="AK19" s="5" t="s">
        <v>25</v>
      </c>
      <c r="AL19" s="5" t="s">
        <v>25</v>
      </c>
      <c r="AM19" s="22" t="s">
        <v>25</v>
      </c>
      <c r="AN19" s="2"/>
      <c r="AO19" s="18" t="s">
        <v>25</v>
      </c>
      <c r="AP19" s="5" t="s">
        <v>25</v>
      </c>
      <c r="AQ19" s="5" t="s">
        <v>25</v>
      </c>
      <c r="AR19" s="5" t="s">
        <v>25</v>
      </c>
      <c r="AS19" s="22" t="s">
        <v>25</v>
      </c>
      <c r="AT19" s="5" t="s">
        <v>29</v>
      </c>
      <c r="AU19" s="5" t="s">
        <v>29</v>
      </c>
      <c r="AV19" s="5" t="s">
        <v>29</v>
      </c>
      <c r="AW19" s="5" t="s">
        <v>29</v>
      </c>
      <c r="AX19" s="22" t="s">
        <v>29</v>
      </c>
      <c r="AY19" s="5" t="s">
        <v>29</v>
      </c>
      <c r="AZ19" s="5" t="s">
        <v>29</v>
      </c>
      <c r="BA19" s="5" t="s">
        <v>29</v>
      </c>
      <c r="BB19" s="5" t="s">
        <v>29</v>
      </c>
      <c r="BC19" s="22" t="s">
        <v>29</v>
      </c>
      <c r="BD19" s="2"/>
      <c r="BE19" s="18" t="s">
        <v>87</v>
      </c>
      <c r="BF19" s="22" t="s">
        <v>88</v>
      </c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</row>
    <row r="20" spans="1:137">
      <c r="A20" s="48">
        <v>2026</v>
      </c>
      <c r="B20" s="49">
        <v>0.06</v>
      </c>
      <c r="C20" s="49">
        <v>0.04</v>
      </c>
      <c r="D20" s="49">
        <v>0.06</v>
      </c>
      <c r="E20" s="49">
        <v>0.04</v>
      </c>
      <c r="F20" s="49">
        <v>0.04</v>
      </c>
      <c r="G20" s="50" t="s">
        <v>5</v>
      </c>
      <c r="H20" s="49">
        <v>89.69</v>
      </c>
      <c r="I20" s="50">
        <v>0</v>
      </c>
      <c r="J20" s="49">
        <v>18.600000000000001</v>
      </c>
      <c r="K20" s="50">
        <v>0</v>
      </c>
      <c r="L20" s="2"/>
      <c r="M20" s="2"/>
      <c r="N20" s="49">
        <v>5.62</v>
      </c>
      <c r="O20" s="49">
        <v>24.68</v>
      </c>
      <c r="P20" s="49">
        <v>18.71</v>
      </c>
      <c r="Q20" s="49">
        <v>18.71</v>
      </c>
      <c r="R20" s="49">
        <v>25.38</v>
      </c>
      <c r="S20" s="49">
        <v>22.83</v>
      </c>
      <c r="T20" s="49">
        <v>22.83</v>
      </c>
      <c r="U20" s="49">
        <v>28.12</v>
      </c>
      <c r="V20" s="49">
        <v>27.09</v>
      </c>
      <c r="W20" s="50" t="s">
        <v>5</v>
      </c>
      <c r="X20" s="50" t="s">
        <v>5</v>
      </c>
      <c r="Y20" s="50" t="s">
        <v>5</v>
      </c>
      <c r="Z20" s="50" t="s">
        <v>5</v>
      </c>
      <c r="AA20" s="50" t="s">
        <v>5</v>
      </c>
      <c r="AB20" s="50" t="s">
        <v>5</v>
      </c>
      <c r="AC20" s="50" t="s">
        <v>5</v>
      </c>
      <c r="AD20" s="2"/>
      <c r="AE20" s="49">
        <v>1.7000000000000001E-2</v>
      </c>
      <c r="AF20" s="50" t="s">
        <v>5</v>
      </c>
      <c r="AG20" s="2"/>
      <c r="AH20" s="50" t="s">
        <v>5</v>
      </c>
      <c r="AI20" s="50" t="s">
        <v>5</v>
      </c>
      <c r="AJ20" s="50" t="s">
        <v>5</v>
      </c>
      <c r="AK20" s="50" t="s">
        <v>5</v>
      </c>
      <c r="AL20" s="50" t="s">
        <v>5</v>
      </c>
      <c r="AM20" s="50" t="s">
        <v>5</v>
      </c>
      <c r="AN20" s="2"/>
      <c r="AO20" s="49">
        <v>0.2</v>
      </c>
      <c r="AP20" s="49">
        <v>0.14000000000000001</v>
      </c>
      <c r="AQ20" s="49">
        <v>0.08</v>
      </c>
      <c r="AR20" s="50" t="s">
        <v>5</v>
      </c>
      <c r="AS20" s="50" t="s">
        <v>5</v>
      </c>
      <c r="AT20" s="49">
        <v>11.26</v>
      </c>
      <c r="AU20" s="49">
        <v>9.77</v>
      </c>
      <c r="AV20" s="49">
        <v>7.91</v>
      </c>
      <c r="AW20" s="50" t="s">
        <v>5</v>
      </c>
      <c r="AX20" s="50" t="s">
        <v>5</v>
      </c>
      <c r="AY20" s="49">
        <v>24.68</v>
      </c>
      <c r="AZ20" s="49">
        <v>18.71</v>
      </c>
      <c r="BA20" s="49">
        <v>18.71</v>
      </c>
      <c r="BB20" s="50" t="s">
        <v>5</v>
      </c>
      <c r="BC20" s="50" t="s">
        <v>5</v>
      </c>
      <c r="BD20" s="56"/>
      <c r="BE20" s="56"/>
      <c r="BF20" s="50" t="s">
        <v>5</v>
      </c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</row>
    <row r="21" spans="1:137">
      <c r="A21" s="3">
        <v>2027</v>
      </c>
      <c r="B21" s="49">
        <v>0.06</v>
      </c>
      <c r="C21" s="49">
        <v>0.05</v>
      </c>
      <c r="D21" s="49">
        <v>0.06</v>
      </c>
      <c r="E21" s="49">
        <v>0.05</v>
      </c>
      <c r="F21" s="49">
        <v>0.04</v>
      </c>
      <c r="G21" s="50" t="s">
        <v>5</v>
      </c>
      <c r="H21" s="49">
        <v>49.6</v>
      </c>
      <c r="I21" s="50">
        <v>0</v>
      </c>
      <c r="J21" s="49">
        <v>18.32</v>
      </c>
      <c r="K21" s="50">
        <v>0</v>
      </c>
      <c r="L21" s="2"/>
      <c r="M21" s="2"/>
      <c r="N21" s="49">
        <v>4.7300000000000004</v>
      </c>
      <c r="O21" s="49">
        <v>25</v>
      </c>
      <c r="P21" s="49">
        <v>18.239999999999998</v>
      </c>
      <c r="Q21" s="49">
        <v>18.190000000000001</v>
      </c>
      <c r="R21" s="49">
        <v>25.19</v>
      </c>
      <c r="S21" s="49">
        <v>22.61</v>
      </c>
      <c r="T21" s="49">
        <v>22.51</v>
      </c>
      <c r="U21" s="49">
        <v>28.19</v>
      </c>
      <c r="V21" s="49">
        <v>26.53</v>
      </c>
      <c r="W21" s="50" t="s">
        <v>5</v>
      </c>
      <c r="X21" s="50" t="s">
        <v>5</v>
      </c>
      <c r="Y21" s="50" t="s">
        <v>5</v>
      </c>
      <c r="Z21" s="50" t="s">
        <v>5</v>
      </c>
      <c r="AA21" s="50" t="s">
        <v>5</v>
      </c>
      <c r="AB21" s="50" t="s">
        <v>5</v>
      </c>
      <c r="AC21" s="50" t="s">
        <v>5</v>
      </c>
      <c r="AD21" s="2"/>
      <c r="AE21" s="49">
        <v>1.7000000000000001E-2</v>
      </c>
      <c r="AF21" s="50" t="s">
        <v>5</v>
      </c>
      <c r="AG21" s="2"/>
      <c r="AH21" s="50" t="s">
        <v>5</v>
      </c>
      <c r="AI21" s="50" t="s">
        <v>5</v>
      </c>
      <c r="AJ21" s="50" t="s">
        <v>5</v>
      </c>
      <c r="AK21" s="50" t="s">
        <v>5</v>
      </c>
      <c r="AL21" s="50" t="s">
        <v>5</v>
      </c>
      <c r="AM21" s="50" t="s">
        <v>5</v>
      </c>
      <c r="AN21" s="2"/>
      <c r="AO21" s="49">
        <v>0.21</v>
      </c>
      <c r="AP21" s="49">
        <v>0.14000000000000001</v>
      </c>
      <c r="AQ21" s="49">
        <v>0.08</v>
      </c>
      <c r="AR21" s="50" t="s">
        <v>5</v>
      </c>
      <c r="AS21" s="50" t="s">
        <v>5</v>
      </c>
      <c r="AT21" s="49">
        <v>10.72</v>
      </c>
      <c r="AU21" s="49">
        <v>9.9600000000000009</v>
      </c>
      <c r="AV21" s="49">
        <v>7.69</v>
      </c>
      <c r="AW21" s="50" t="s">
        <v>5</v>
      </c>
      <c r="AX21" s="50" t="s">
        <v>5</v>
      </c>
      <c r="AY21" s="49">
        <v>25</v>
      </c>
      <c r="AZ21" s="49">
        <v>18.239999999999998</v>
      </c>
      <c r="BA21" s="49">
        <v>18.190000000000001</v>
      </c>
      <c r="BB21" s="50" t="s">
        <v>5</v>
      </c>
      <c r="BC21" s="50" t="s">
        <v>5</v>
      </c>
      <c r="BD21" s="56"/>
      <c r="BE21" s="56"/>
      <c r="BF21" s="50" t="s">
        <v>5</v>
      </c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</row>
    <row r="22" spans="1:137">
      <c r="A22" s="3">
        <v>2028</v>
      </c>
      <c r="B22" s="49">
        <v>0.06</v>
      </c>
      <c r="C22" s="49">
        <v>0.05</v>
      </c>
      <c r="D22" s="49">
        <v>0.06</v>
      </c>
      <c r="E22" s="49">
        <v>0.05</v>
      </c>
      <c r="F22" s="49">
        <v>0.04</v>
      </c>
      <c r="G22" s="50" t="s">
        <v>5</v>
      </c>
      <c r="H22" s="49">
        <v>42.36</v>
      </c>
      <c r="I22" s="50">
        <v>0</v>
      </c>
      <c r="J22" s="49">
        <v>18.309999999999999</v>
      </c>
      <c r="K22" s="50">
        <v>0</v>
      </c>
      <c r="L22" s="2"/>
      <c r="M22" s="2"/>
      <c r="N22" s="49">
        <v>4.71</v>
      </c>
      <c r="O22" s="49">
        <v>25.57</v>
      </c>
      <c r="P22" s="49">
        <v>17.97</v>
      </c>
      <c r="Q22" s="49">
        <v>17.87</v>
      </c>
      <c r="R22" s="49">
        <v>25.19</v>
      </c>
      <c r="S22" s="49">
        <v>22.75</v>
      </c>
      <c r="T22" s="49">
        <v>22.7</v>
      </c>
      <c r="U22" s="49">
        <v>28.53</v>
      </c>
      <c r="V22" s="49">
        <v>26.25</v>
      </c>
      <c r="W22" s="50" t="s">
        <v>5</v>
      </c>
      <c r="X22" s="50" t="s">
        <v>5</v>
      </c>
      <c r="Y22" s="50" t="s">
        <v>5</v>
      </c>
      <c r="Z22" s="50" t="s">
        <v>5</v>
      </c>
      <c r="AA22" s="50" t="s">
        <v>5</v>
      </c>
      <c r="AB22" s="50" t="s">
        <v>5</v>
      </c>
      <c r="AC22" s="50" t="s">
        <v>5</v>
      </c>
      <c r="AD22" s="2"/>
      <c r="AE22" s="49">
        <v>1.7000000000000001E-2</v>
      </c>
      <c r="AF22" s="50" t="s">
        <v>5</v>
      </c>
      <c r="AG22" s="2"/>
      <c r="AH22" s="50" t="s">
        <v>5</v>
      </c>
      <c r="AI22" s="50" t="s">
        <v>5</v>
      </c>
      <c r="AJ22" s="50" t="s">
        <v>5</v>
      </c>
      <c r="AK22" s="50" t="s">
        <v>5</v>
      </c>
      <c r="AL22" s="50" t="s">
        <v>5</v>
      </c>
      <c r="AM22" s="50" t="s">
        <v>5</v>
      </c>
      <c r="AN22" s="2"/>
      <c r="AO22" s="49">
        <v>0.21</v>
      </c>
      <c r="AP22" s="49">
        <v>0.14000000000000001</v>
      </c>
      <c r="AQ22" s="49">
        <v>0.08</v>
      </c>
      <c r="AR22" s="50" t="s">
        <v>5</v>
      </c>
      <c r="AS22" s="50" t="s">
        <v>5</v>
      </c>
      <c r="AT22" s="49">
        <v>10.38</v>
      </c>
      <c r="AU22" s="49">
        <v>10.34</v>
      </c>
      <c r="AV22" s="49">
        <v>7.76</v>
      </c>
      <c r="AW22" s="50" t="s">
        <v>5</v>
      </c>
      <c r="AX22" s="50" t="s">
        <v>5</v>
      </c>
      <c r="AY22" s="49">
        <v>25.57</v>
      </c>
      <c r="AZ22" s="49">
        <v>17.97</v>
      </c>
      <c r="BA22" s="49">
        <v>17.87</v>
      </c>
      <c r="BB22" s="50" t="s">
        <v>5</v>
      </c>
      <c r="BC22" s="50" t="s">
        <v>5</v>
      </c>
      <c r="BD22" s="56"/>
      <c r="BE22" s="56"/>
      <c r="BF22" s="50" t="s">
        <v>5</v>
      </c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</row>
    <row r="23" spans="1:137">
      <c r="A23" s="3">
        <v>2029</v>
      </c>
      <c r="B23" s="49">
        <v>0.06</v>
      </c>
      <c r="C23" s="49">
        <v>0.05</v>
      </c>
      <c r="D23" s="49">
        <v>0.06</v>
      </c>
      <c r="E23" s="49">
        <v>0.05</v>
      </c>
      <c r="F23" s="49">
        <v>0.04</v>
      </c>
      <c r="G23" s="50" t="s">
        <v>5</v>
      </c>
      <c r="H23" s="49">
        <v>63.21</v>
      </c>
      <c r="I23" s="50">
        <v>0</v>
      </c>
      <c r="J23" s="49">
        <v>18.3</v>
      </c>
      <c r="K23" s="50">
        <v>0</v>
      </c>
      <c r="L23" s="2"/>
      <c r="M23" s="2"/>
      <c r="N23" s="49">
        <v>4.59</v>
      </c>
      <c r="O23" s="49">
        <v>26.19</v>
      </c>
      <c r="P23" s="49">
        <v>17.72</v>
      </c>
      <c r="Q23" s="49">
        <v>17.57</v>
      </c>
      <c r="R23" s="49">
        <v>25.4</v>
      </c>
      <c r="S23" s="49">
        <v>23.11</v>
      </c>
      <c r="T23" s="49">
        <v>23.23</v>
      </c>
      <c r="U23" s="49">
        <v>28.89</v>
      </c>
      <c r="V23" s="49">
        <v>25.94</v>
      </c>
      <c r="W23" s="50" t="s">
        <v>5</v>
      </c>
      <c r="X23" s="50" t="s">
        <v>5</v>
      </c>
      <c r="Y23" s="50" t="s">
        <v>5</v>
      </c>
      <c r="Z23" s="50" t="s">
        <v>5</v>
      </c>
      <c r="AA23" s="50" t="s">
        <v>5</v>
      </c>
      <c r="AB23" s="50" t="s">
        <v>5</v>
      </c>
      <c r="AC23" s="50" t="s">
        <v>5</v>
      </c>
      <c r="AD23" s="2"/>
      <c r="AE23" s="49">
        <v>1.7000000000000001E-2</v>
      </c>
      <c r="AF23" s="50" t="s">
        <v>5</v>
      </c>
      <c r="AG23" s="2"/>
      <c r="AH23" s="50" t="s">
        <v>5</v>
      </c>
      <c r="AI23" s="50" t="s">
        <v>5</v>
      </c>
      <c r="AJ23" s="50" t="s">
        <v>5</v>
      </c>
      <c r="AK23" s="50" t="s">
        <v>5</v>
      </c>
      <c r="AL23" s="50" t="s">
        <v>5</v>
      </c>
      <c r="AM23" s="50" t="s">
        <v>5</v>
      </c>
      <c r="AN23" s="2"/>
      <c r="AO23" s="49">
        <v>0.22</v>
      </c>
      <c r="AP23" s="49">
        <v>0.14000000000000001</v>
      </c>
      <c r="AQ23" s="49">
        <v>0.08</v>
      </c>
      <c r="AR23" s="50" t="s">
        <v>5</v>
      </c>
      <c r="AS23" s="50" t="s">
        <v>5</v>
      </c>
      <c r="AT23" s="49">
        <v>10.19</v>
      </c>
      <c r="AU23" s="49">
        <v>10.84</v>
      </c>
      <c r="AV23" s="49">
        <v>7.94</v>
      </c>
      <c r="AW23" s="50" t="s">
        <v>5</v>
      </c>
      <c r="AX23" s="50" t="s">
        <v>5</v>
      </c>
      <c r="AY23" s="49">
        <v>26.19</v>
      </c>
      <c r="AZ23" s="49">
        <v>17.72</v>
      </c>
      <c r="BA23" s="49">
        <v>17.57</v>
      </c>
      <c r="BB23" s="50" t="s">
        <v>5</v>
      </c>
      <c r="BC23" s="50" t="s">
        <v>5</v>
      </c>
      <c r="BD23" s="56"/>
      <c r="BE23" s="56"/>
      <c r="BF23" s="50" t="s">
        <v>5</v>
      </c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</row>
    <row r="24" spans="1:137">
      <c r="A24" s="3">
        <v>2030</v>
      </c>
      <c r="B24" s="49">
        <v>7.0000000000000007E-2</v>
      </c>
      <c r="C24" s="49">
        <v>0.05</v>
      </c>
      <c r="D24" s="49">
        <v>7.0000000000000007E-2</v>
      </c>
      <c r="E24" s="49">
        <v>0.05</v>
      </c>
      <c r="F24" s="49">
        <v>0.04</v>
      </c>
      <c r="G24" s="50" t="s">
        <v>5</v>
      </c>
      <c r="H24" s="49">
        <v>57.55</v>
      </c>
      <c r="I24" s="50">
        <v>0</v>
      </c>
      <c r="J24" s="49">
        <v>18.29</v>
      </c>
      <c r="K24" s="50">
        <v>0</v>
      </c>
      <c r="L24" s="2"/>
      <c r="M24" s="2"/>
      <c r="N24" s="49">
        <v>5.0199999999999996</v>
      </c>
      <c r="O24" s="49">
        <v>26.88</v>
      </c>
      <c r="P24" s="49">
        <v>17.5</v>
      </c>
      <c r="Q24" s="49">
        <v>17.3</v>
      </c>
      <c r="R24" s="49">
        <v>25.8</v>
      </c>
      <c r="S24" s="49">
        <v>23.63</v>
      </c>
      <c r="T24" s="49">
        <v>23.99</v>
      </c>
      <c r="U24" s="49">
        <v>29.3</v>
      </c>
      <c r="V24" s="49">
        <v>26</v>
      </c>
      <c r="W24" s="50" t="s">
        <v>5</v>
      </c>
      <c r="X24" s="50" t="s">
        <v>5</v>
      </c>
      <c r="Y24" s="50" t="s">
        <v>5</v>
      </c>
      <c r="Z24" s="50" t="s">
        <v>5</v>
      </c>
      <c r="AA24" s="50" t="s">
        <v>5</v>
      </c>
      <c r="AB24" s="50" t="s">
        <v>5</v>
      </c>
      <c r="AC24" s="50" t="s">
        <v>5</v>
      </c>
      <c r="AD24" s="2"/>
      <c r="AE24" s="49">
        <v>1.7000000000000001E-2</v>
      </c>
      <c r="AF24" s="50" t="s">
        <v>5</v>
      </c>
      <c r="AG24" s="2"/>
      <c r="AH24" s="50" t="s">
        <v>5</v>
      </c>
      <c r="AI24" s="50" t="s">
        <v>5</v>
      </c>
      <c r="AJ24" s="50" t="s">
        <v>5</v>
      </c>
      <c r="AK24" s="50" t="s">
        <v>5</v>
      </c>
      <c r="AL24" s="50" t="s">
        <v>5</v>
      </c>
      <c r="AM24" s="50" t="s">
        <v>5</v>
      </c>
      <c r="AN24" s="2"/>
      <c r="AO24" s="49">
        <v>0.22</v>
      </c>
      <c r="AP24" s="49">
        <v>0.15</v>
      </c>
      <c r="AQ24" s="49">
        <v>0.08</v>
      </c>
      <c r="AR24" s="50" t="s">
        <v>5</v>
      </c>
      <c r="AS24" s="50" t="s">
        <v>5</v>
      </c>
      <c r="AT24" s="49">
        <v>9.98</v>
      </c>
      <c r="AU24" s="49">
        <v>11.31</v>
      </c>
      <c r="AV24" s="49">
        <v>8.15</v>
      </c>
      <c r="AW24" s="50" t="s">
        <v>5</v>
      </c>
      <c r="AX24" s="50" t="s">
        <v>5</v>
      </c>
      <c r="AY24" s="49">
        <v>26.88</v>
      </c>
      <c r="AZ24" s="49">
        <v>17.5</v>
      </c>
      <c r="BA24" s="49">
        <v>17.3</v>
      </c>
      <c r="BB24" s="50" t="s">
        <v>5</v>
      </c>
      <c r="BC24" s="50" t="s">
        <v>5</v>
      </c>
      <c r="BD24" s="56"/>
      <c r="BE24" s="56"/>
      <c r="BF24" s="50" t="s">
        <v>5</v>
      </c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</row>
    <row r="25" spans="1:137">
      <c r="A25" s="3">
        <v>2031</v>
      </c>
      <c r="B25" s="49">
        <v>7.0000000000000007E-2</v>
      </c>
      <c r="C25" s="49">
        <v>0.05</v>
      </c>
      <c r="D25" s="49">
        <v>7.0000000000000007E-2</v>
      </c>
      <c r="E25" s="49">
        <v>0.05</v>
      </c>
      <c r="F25" s="49">
        <v>0.04</v>
      </c>
      <c r="G25" s="50" t="s">
        <v>5</v>
      </c>
      <c r="H25" s="49">
        <v>60.93</v>
      </c>
      <c r="I25" s="50">
        <v>0</v>
      </c>
      <c r="J25" s="49">
        <v>18.3</v>
      </c>
      <c r="K25" s="50">
        <v>0</v>
      </c>
      <c r="L25" s="2"/>
      <c r="M25" s="2"/>
      <c r="N25" s="49">
        <v>5.0199999999999996</v>
      </c>
      <c r="O25" s="49">
        <v>26.98</v>
      </c>
      <c r="P25" s="49">
        <v>17.559999999999999</v>
      </c>
      <c r="Q25" s="49">
        <v>17.36</v>
      </c>
      <c r="R25" s="49">
        <v>26.27</v>
      </c>
      <c r="S25" s="49">
        <v>24.12</v>
      </c>
      <c r="T25" s="49">
        <v>24.72</v>
      </c>
      <c r="U25" s="49">
        <v>29.38</v>
      </c>
      <c r="V25" s="49">
        <v>26.05</v>
      </c>
      <c r="W25" s="50" t="s">
        <v>5</v>
      </c>
      <c r="X25" s="50" t="s">
        <v>5</v>
      </c>
      <c r="Y25" s="50" t="s">
        <v>5</v>
      </c>
      <c r="Z25" s="50" t="s">
        <v>5</v>
      </c>
      <c r="AA25" s="50" t="s">
        <v>5</v>
      </c>
      <c r="AB25" s="50" t="s">
        <v>5</v>
      </c>
      <c r="AC25" s="50" t="s">
        <v>5</v>
      </c>
      <c r="AD25" s="2"/>
      <c r="AE25" s="49">
        <v>1.7000000000000001E-2</v>
      </c>
      <c r="AF25" s="50" t="s">
        <v>5</v>
      </c>
      <c r="AG25" s="2"/>
      <c r="AH25" s="50" t="s">
        <v>5</v>
      </c>
      <c r="AI25" s="50" t="s">
        <v>5</v>
      </c>
      <c r="AJ25" s="50" t="s">
        <v>5</v>
      </c>
      <c r="AK25" s="50" t="s">
        <v>5</v>
      </c>
      <c r="AL25" s="50" t="s">
        <v>5</v>
      </c>
      <c r="AM25" s="50" t="s">
        <v>5</v>
      </c>
      <c r="AN25" s="2"/>
      <c r="AO25" s="49">
        <v>0.22</v>
      </c>
      <c r="AP25" s="49">
        <v>0.15</v>
      </c>
      <c r="AQ25" s="49">
        <v>0.08</v>
      </c>
      <c r="AR25" s="50" t="s">
        <v>5</v>
      </c>
      <c r="AS25" s="50" t="s">
        <v>5</v>
      </c>
      <c r="AT25" s="49">
        <v>10.199999999999999</v>
      </c>
      <c r="AU25" s="49">
        <v>11.51</v>
      </c>
      <c r="AV25" s="49">
        <v>8.3699999999999992</v>
      </c>
      <c r="AW25" s="50" t="s">
        <v>5</v>
      </c>
      <c r="AX25" s="50" t="s">
        <v>5</v>
      </c>
      <c r="AY25" s="49">
        <v>26.98</v>
      </c>
      <c r="AZ25" s="49">
        <v>17.559999999999999</v>
      </c>
      <c r="BA25" s="49">
        <v>17.36</v>
      </c>
      <c r="BB25" s="50" t="s">
        <v>5</v>
      </c>
      <c r="BC25" s="50" t="s">
        <v>5</v>
      </c>
      <c r="BD25" s="56"/>
      <c r="BE25" s="56"/>
      <c r="BF25" s="50" t="s">
        <v>5</v>
      </c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</row>
    <row r="26" spans="1:137">
      <c r="A26" s="3">
        <v>2032</v>
      </c>
      <c r="B26" s="49">
        <v>0.06</v>
      </c>
      <c r="C26" s="49">
        <v>0.05</v>
      </c>
      <c r="D26" s="49">
        <v>0.06</v>
      </c>
      <c r="E26" s="49">
        <v>0.05</v>
      </c>
      <c r="F26" s="49">
        <v>0.04</v>
      </c>
      <c r="G26" s="50" t="s">
        <v>5</v>
      </c>
      <c r="H26" s="49">
        <v>74.260000000000005</v>
      </c>
      <c r="I26" s="50">
        <v>0</v>
      </c>
      <c r="J26" s="49">
        <v>18.29</v>
      </c>
      <c r="K26" s="50">
        <v>0</v>
      </c>
      <c r="L26" s="2"/>
      <c r="M26" s="2"/>
      <c r="N26" s="49">
        <v>5.01</v>
      </c>
      <c r="O26" s="49">
        <v>26.83</v>
      </c>
      <c r="P26" s="49">
        <v>17.489999999999998</v>
      </c>
      <c r="Q26" s="49">
        <v>17.3</v>
      </c>
      <c r="R26" s="49">
        <v>27.07</v>
      </c>
      <c r="S26" s="49">
        <v>25.08</v>
      </c>
      <c r="T26" s="49">
        <v>26.16</v>
      </c>
      <c r="U26" s="49">
        <v>29.25</v>
      </c>
      <c r="V26" s="49">
        <v>25.93</v>
      </c>
      <c r="W26" s="50" t="s">
        <v>5</v>
      </c>
      <c r="X26" s="50" t="s">
        <v>5</v>
      </c>
      <c r="Y26" s="50" t="s">
        <v>5</v>
      </c>
      <c r="Z26" s="50" t="s">
        <v>5</v>
      </c>
      <c r="AA26" s="50" t="s">
        <v>5</v>
      </c>
      <c r="AB26" s="50" t="s">
        <v>5</v>
      </c>
      <c r="AC26" s="50" t="s">
        <v>5</v>
      </c>
      <c r="AD26" s="2"/>
      <c r="AE26" s="49">
        <v>1.7000000000000001E-2</v>
      </c>
      <c r="AF26" s="50" t="s">
        <v>5</v>
      </c>
      <c r="AG26" s="2"/>
      <c r="AH26" s="50" t="s">
        <v>5</v>
      </c>
      <c r="AI26" s="50" t="s">
        <v>5</v>
      </c>
      <c r="AJ26" s="50" t="s">
        <v>5</v>
      </c>
      <c r="AK26" s="50" t="s">
        <v>5</v>
      </c>
      <c r="AL26" s="50" t="s">
        <v>5</v>
      </c>
      <c r="AM26" s="50" t="s">
        <v>5</v>
      </c>
      <c r="AN26" s="2"/>
      <c r="AO26" s="49">
        <v>0.21</v>
      </c>
      <c r="AP26" s="49">
        <v>0.14000000000000001</v>
      </c>
      <c r="AQ26" s="49">
        <v>0.08</v>
      </c>
      <c r="AR26" s="50" t="s">
        <v>5</v>
      </c>
      <c r="AS26" s="50" t="s">
        <v>5</v>
      </c>
      <c r="AT26" s="49">
        <v>10.71</v>
      </c>
      <c r="AU26" s="49">
        <v>12.01</v>
      </c>
      <c r="AV26" s="49">
        <v>9.1</v>
      </c>
      <c r="AW26" s="50" t="s">
        <v>5</v>
      </c>
      <c r="AX26" s="50" t="s">
        <v>5</v>
      </c>
      <c r="AY26" s="49">
        <v>26.83</v>
      </c>
      <c r="AZ26" s="49">
        <v>17.489999999999998</v>
      </c>
      <c r="BA26" s="49">
        <v>17.3</v>
      </c>
      <c r="BB26" s="50" t="s">
        <v>5</v>
      </c>
      <c r="BC26" s="50" t="s">
        <v>5</v>
      </c>
      <c r="BD26" s="56"/>
      <c r="BE26" s="56"/>
      <c r="BF26" s="50" t="s">
        <v>5</v>
      </c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</row>
    <row r="27" spans="1:137">
      <c r="A27" s="3">
        <v>2033</v>
      </c>
      <c r="B27" s="49">
        <v>0.06</v>
      </c>
      <c r="C27" s="49">
        <v>0.05</v>
      </c>
      <c r="D27" s="49">
        <v>0.06</v>
      </c>
      <c r="E27" s="49">
        <v>0.05</v>
      </c>
      <c r="F27" s="49">
        <v>0.04</v>
      </c>
      <c r="G27" s="50" t="s">
        <v>5</v>
      </c>
      <c r="H27" s="49">
        <v>67.34</v>
      </c>
      <c r="I27" s="50">
        <v>0</v>
      </c>
      <c r="J27" s="49">
        <v>18.28</v>
      </c>
      <c r="K27" s="50">
        <v>0</v>
      </c>
      <c r="L27" s="2"/>
      <c r="M27" s="2"/>
      <c r="N27" s="49">
        <v>5.01</v>
      </c>
      <c r="O27" s="49">
        <v>27.26</v>
      </c>
      <c r="P27" s="49">
        <v>17.79</v>
      </c>
      <c r="Q27" s="49">
        <v>17.600000000000001</v>
      </c>
      <c r="R27" s="49">
        <v>28.12</v>
      </c>
      <c r="S27" s="49">
        <v>26.22</v>
      </c>
      <c r="T27" s="49">
        <v>27.91</v>
      </c>
      <c r="U27" s="49">
        <v>29.67</v>
      </c>
      <c r="V27" s="49">
        <v>25.83</v>
      </c>
      <c r="W27" s="50" t="s">
        <v>5</v>
      </c>
      <c r="X27" s="50" t="s">
        <v>5</v>
      </c>
      <c r="Y27" s="50" t="s">
        <v>5</v>
      </c>
      <c r="Z27" s="50" t="s">
        <v>5</v>
      </c>
      <c r="AA27" s="50" t="s">
        <v>5</v>
      </c>
      <c r="AB27" s="50" t="s">
        <v>5</v>
      </c>
      <c r="AC27" s="50" t="s">
        <v>5</v>
      </c>
      <c r="AD27" s="2"/>
      <c r="AE27" s="49">
        <v>1.7000000000000001E-2</v>
      </c>
      <c r="AF27" s="50" t="s">
        <v>5</v>
      </c>
      <c r="AG27" s="2"/>
      <c r="AH27" s="50" t="s">
        <v>5</v>
      </c>
      <c r="AI27" s="50" t="s">
        <v>5</v>
      </c>
      <c r="AJ27" s="50" t="s">
        <v>5</v>
      </c>
      <c r="AK27" s="50" t="s">
        <v>5</v>
      </c>
      <c r="AL27" s="50" t="s">
        <v>5</v>
      </c>
      <c r="AM27" s="50" t="s">
        <v>5</v>
      </c>
      <c r="AN27" s="2"/>
      <c r="AO27" s="49">
        <v>0.22</v>
      </c>
      <c r="AP27" s="49">
        <v>0.14000000000000001</v>
      </c>
      <c r="AQ27" s="49">
        <v>0.08</v>
      </c>
      <c r="AR27" s="50" t="s">
        <v>5</v>
      </c>
      <c r="AS27" s="50" t="s">
        <v>5</v>
      </c>
      <c r="AT27" s="49">
        <v>11.18</v>
      </c>
      <c r="AU27" s="49">
        <v>12.46</v>
      </c>
      <c r="AV27" s="49">
        <v>9.66</v>
      </c>
      <c r="AW27" s="50" t="s">
        <v>5</v>
      </c>
      <c r="AX27" s="50" t="s">
        <v>5</v>
      </c>
      <c r="AY27" s="49">
        <v>27.26</v>
      </c>
      <c r="AZ27" s="49">
        <v>17.79</v>
      </c>
      <c r="BA27" s="49">
        <v>17.600000000000001</v>
      </c>
      <c r="BB27" s="50" t="s">
        <v>5</v>
      </c>
      <c r="BC27" s="50" t="s">
        <v>5</v>
      </c>
      <c r="BD27" s="56"/>
      <c r="BE27" s="56"/>
      <c r="BF27" s="50" t="s">
        <v>5</v>
      </c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</row>
    <row r="28" spans="1:137">
      <c r="A28" s="3">
        <v>2034</v>
      </c>
      <c r="B28" s="49">
        <v>0.06</v>
      </c>
      <c r="C28" s="49">
        <v>0.05</v>
      </c>
      <c r="D28" s="49">
        <v>0.06</v>
      </c>
      <c r="E28" s="49">
        <v>0.05</v>
      </c>
      <c r="F28" s="49">
        <v>0.04</v>
      </c>
      <c r="G28" s="50" t="s">
        <v>5</v>
      </c>
      <c r="H28" s="49">
        <v>74.77</v>
      </c>
      <c r="I28" s="50">
        <v>0</v>
      </c>
      <c r="J28" s="49">
        <v>18.27</v>
      </c>
      <c r="K28" s="50">
        <v>0</v>
      </c>
      <c r="L28" s="2"/>
      <c r="M28" s="2"/>
      <c r="N28" s="49">
        <v>5</v>
      </c>
      <c r="O28" s="49">
        <v>27.43</v>
      </c>
      <c r="P28" s="49">
        <v>17.920000000000002</v>
      </c>
      <c r="Q28" s="49">
        <v>17.73</v>
      </c>
      <c r="R28" s="49">
        <v>29.04</v>
      </c>
      <c r="S28" s="49">
        <v>26.97</v>
      </c>
      <c r="T28" s="49">
        <v>29.09</v>
      </c>
      <c r="U28" s="49">
        <v>29.84</v>
      </c>
      <c r="V28" s="49">
        <v>25.92</v>
      </c>
      <c r="W28" s="50" t="s">
        <v>5</v>
      </c>
      <c r="X28" s="50" t="s">
        <v>5</v>
      </c>
      <c r="Y28" s="50" t="s">
        <v>5</v>
      </c>
      <c r="Z28" s="50" t="s">
        <v>5</v>
      </c>
      <c r="AA28" s="50" t="s">
        <v>5</v>
      </c>
      <c r="AB28" s="50" t="s">
        <v>5</v>
      </c>
      <c r="AC28" s="50" t="s">
        <v>5</v>
      </c>
      <c r="AD28" s="2"/>
      <c r="AE28" s="49">
        <v>1.7000000000000001E-2</v>
      </c>
      <c r="AF28" s="50" t="s">
        <v>5</v>
      </c>
      <c r="AG28" s="2"/>
      <c r="AH28" s="50" t="s">
        <v>5</v>
      </c>
      <c r="AI28" s="50" t="s">
        <v>5</v>
      </c>
      <c r="AJ28" s="50" t="s">
        <v>5</v>
      </c>
      <c r="AK28" s="50" t="s">
        <v>5</v>
      </c>
      <c r="AL28" s="50" t="s">
        <v>5</v>
      </c>
      <c r="AM28" s="50" t="s">
        <v>5</v>
      </c>
      <c r="AN28" s="2"/>
      <c r="AO28" s="49">
        <v>0.22</v>
      </c>
      <c r="AP28" s="49">
        <v>0.14000000000000001</v>
      </c>
      <c r="AQ28" s="49">
        <v>0.08</v>
      </c>
      <c r="AR28" s="50" t="s">
        <v>5</v>
      </c>
      <c r="AS28" s="50" t="s">
        <v>5</v>
      </c>
      <c r="AT28" s="49">
        <v>11.49</v>
      </c>
      <c r="AU28" s="49">
        <v>12.72</v>
      </c>
      <c r="AV28" s="49">
        <v>9.9499999999999993</v>
      </c>
      <c r="AW28" s="50" t="s">
        <v>5</v>
      </c>
      <c r="AX28" s="50" t="s">
        <v>5</v>
      </c>
      <c r="AY28" s="49">
        <v>27.43</v>
      </c>
      <c r="AZ28" s="49">
        <v>17.920000000000002</v>
      </c>
      <c r="BA28" s="49">
        <v>17.73</v>
      </c>
      <c r="BB28" s="50" t="s">
        <v>5</v>
      </c>
      <c r="BC28" s="50" t="s">
        <v>5</v>
      </c>
      <c r="BD28" s="56"/>
      <c r="BE28" s="56"/>
      <c r="BF28" s="50" t="s">
        <v>5</v>
      </c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</row>
    <row r="29" spans="1:137">
      <c r="A29" s="3">
        <v>2035</v>
      </c>
      <c r="B29" s="49">
        <v>0.06</v>
      </c>
      <c r="C29" s="49">
        <v>0.05</v>
      </c>
      <c r="D29" s="49">
        <v>0.06</v>
      </c>
      <c r="E29" s="49">
        <v>0.05</v>
      </c>
      <c r="F29" s="49">
        <v>0.04</v>
      </c>
      <c r="G29" s="50" t="s">
        <v>5</v>
      </c>
      <c r="H29" s="49">
        <v>81.459999999999994</v>
      </c>
      <c r="I29" s="50">
        <v>0</v>
      </c>
      <c r="J29" s="49">
        <v>18.25</v>
      </c>
      <c r="K29" s="50">
        <v>0</v>
      </c>
      <c r="L29" s="2"/>
      <c r="M29" s="2"/>
      <c r="N29" s="49">
        <v>5</v>
      </c>
      <c r="O29" s="49">
        <v>27.65</v>
      </c>
      <c r="P29" s="49">
        <v>18.13</v>
      </c>
      <c r="Q29" s="49">
        <v>17.940000000000001</v>
      </c>
      <c r="R29" s="49">
        <v>29.7</v>
      </c>
      <c r="S29" s="49">
        <v>27.32</v>
      </c>
      <c r="T29" s="49">
        <v>29.66</v>
      </c>
      <c r="U29" s="49">
        <v>30.15</v>
      </c>
      <c r="V29" s="49">
        <v>25.71</v>
      </c>
      <c r="W29" s="50" t="s">
        <v>5</v>
      </c>
      <c r="X29" s="50" t="s">
        <v>5</v>
      </c>
      <c r="Y29" s="50" t="s">
        <v>5</v>
      </c>
      <c r="Z29" s="50" t="s">
        <v>5</v>
      </c>
      <c r="AA29" s="50" t="s">
        <v>5</v>
      </c>
      <c r="AB29" s="50" t="s">
        <v>5</v>
      </c>
      <c r="AC29" s="50" t="s">
        <v>5</v>
      </c>
      <c r="AD29" s="2"/>
      <c r="AE29" s="49">
        <v>1.7000000000000001E-2</v>
      </c>
      <c r="AF29" s="50" t="s">
        <v>5</v>
      </c>
      <c r="AG29" s="2"/>
      <c r="AH29" s="50" t="s">
        <v>5</v>
      </c>
      <c r="AI29" s="50" t="s">
        <v>5</v>
      </c>
      <c r="AJ29" s="50" t="s">
        <v>5</v>
      </c>
      <c r="AK29" s="50" t="s">
        <v>5</v>
      </c>
      <c r="AL29" s="50" t="s">
        <v>5</v>
      </c>
      <c r="AM29" s="50" t="s">
        <v>5</v>
      </c>
      <c r="AN29" s="2"/>
      <c r="AO29" s="49">
        <v>0.22</v>
      </c>
      <c r="AP29" s="49">
        <v>0.15</v>
      </c>
      <c r="AQ29" s="49">
        <v>0.08</v>
      </c>
      <c r="AR29" s="50" t="s">
        <v>5</v>
      </c>
      <c r="AS29" s="50" t="s">
        <v>5</v>
      </c>
      <c r="AT29" s="49">
        <v>11.66</v>
      </c>
      <c r="AU29" s="49">
        <v>12.84</v>
      </c>
      <c r="AV29" s="49">
        <v>10.06</v>
      </c>
      <c r="AW29" s="50" t="s">
        <v>5</v>
      </c>
      <c r="AX29" s="50" t="s">
        <v>5</v>
      </c>
      <c r="AY29" s="49">
        <v>27.65</v>
      </c>
      <c r="AZ29" s="49">
        <v>18.13</v>
      </c>
      <c r="BA29" s="49">
        <v>17.940000000000001</v>
      </c>
      <c r="BB29" s="50" t="s">
        <v>5</v>
      </c>
      <c r="BC29" s="50" t="s">
        <v>5</v>
      </c>
      <c r="BD29" s="56"/>
      <c r="BE29" s="56"/>
      <c r="BF29" s="50" t="s">
        <v>5</v>
      </c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</row>
    <row r="30" spans="1:137">
      <c r="A30" s="3">
        <v>2036</v>
      </c>
      <c r="B30" s="49">
        <v>0.06</v>
      </c>
      <c r="C30" s="49">
        <v>0.05</v>
      </c>
      <c r="D30" s="49">
        <v>0.06</v>
      </c>
      <c r="E30" s="49">
        <v>0.05</v>
      </c>
      <c r="F30" s="49">
        <v>0.04</v>
      </c>
      <c r="G30" s="50" t="s">
        <v>5</v>
      </c>
      <c r="H30" s="49">
        <v>85.29</v>
      </c>
      <c r="I30" s="50">
        <v>0</v>
      </c>
      <c r="J30" s="49">
        <v>18.25</v>
      </c>
      <c r="K30" s="50">
        <v>0</v>
      </c>
      <c r="L30" s="2"/>
      <c r="M30" s="2"/>
      <c r="N30" s="49">
        <v>5</v>
      </c>
      <c r="O30" s="49">
        <v>27.69</v>
      </c>
      <c r="P30" s="49">
        <v>18.21</v>
      </c>
      <c r="Q30" s="49">
        <v>18.03</v>
      </c>
      <c r="R30" s="49">
        <v>30.1</v>
      </c>
      <c r="S30" s="49">
        <v>27.43</v>
      </c>
      <c r="T30" s="49">
        <v>29.84</v>
      </c>
      <c r="U30" s="49">
        <v>30.25</v>
      </c>
      <c r="V30" s="49">
        <v>25.73</v>
      </c>
      <c r="W30" s="50" t="s">
        <v>5</v>
      </c>
      <c r="X30" s="50" t="s">
        <v>5</v>
      </c>
      <c r="Y30" s="50" t="s">
        <v>5</v>
      </c>
      <c r="Z30" s="50" t="s">
        <v>5</v>
      </c>
      <c r="AA30" s="50" t="s">
        <v>5</v>
      </c>
      <c r="AB30" s="50" t="s">
        <v>5</v>
      </c>
      <c r="AC30" s="50" t="s">
        <v>5</v>
      </c>
      <c r="AD30" s="2"/>
      <c r="AE30" s="49">
        <v>1.7000000000000001E-2</v>
      </c>
      <c r="AF30" s="50" t="s">
        <v>5</v>
      </c>
      <c r="AG30" s="2"/>
      <c r="AH30" s="50" t="s">
        <v>5</v>
      </c>
      <c r="AI30" s="50" t="s">
        <v>5</v>
      </c>
      <c r="AJ30" s="50" t="s">
        <v>5</v>
      </c>
      <c r="AK30" s="50" t="s">
        <v>5</v>
      </c>
      <c r="AL30" s="50" t="s">
        <v>5</v>
      </c>
      <c r="AM30" s="50" t="s">
        <v>5</v>
      </c>
      <c r="AN30" s="2"/>
      <c r="AO30" s="49">
        <v>0.21</v>
      </c>
      <c r="AP30" s="49">
        <v>0.14000000000000001</v>
      </c>
      <c r="AQ30" s="49">
        <v>0.08</v>
      </c>
      <c r="AR30" s="50" t="s">
        <v>5</v>
      </c>
      <c r="AS30" s="50" t="s">
        <v>5</v>
      </c>
      <c r="AT30" s="49">
        <v>11.71</v>
      </c>
      <c r="AU30" s="49">
        <v>12.83</v>
      </c>
      <c r="AV30" s="49">
        <v>10.02</v>
      </c>
      <c r="AW30" s="50" t="s">
        <v>5</v>
      </c>
      <c r="AX30" s="50" t="s">
        <v>5</v>
      </c>
      <c r="AY30" s="49">
        <v>27.69</v>
      </c>
      <c r="AZ30" s="49">
        <v>18.21</v>
      </c>
      <c r="BA30" s="49">
        <v>18.03</v>
      </c>
      <c r="BB30" s="50" t="s">
        <v>5</v>
      </c>
      <c r="BC30" s="50" t="s">
        <v>5</v>
      </c>
      <c r="BD30" s="56"/>
      <c r="BE30" s="56"/>
      <c r="BF30" s="50" t="s">
        <v>5</v>
      </c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</row>
    <row r="31" spans="1:137">
      <c r="A31" s="3">
        <v>2037</v>
      </c>
      <c r="B31" s="49">
        <v>0.06</v>
      </c>
      <c r="C31" s="49">
        <v>0.05</v>
      </c>
      <c r="D31" s="49">
        <v>0.06</v>
      </c>
      <c r="E31" s="49">
        <v>0.05</v>
      </c>
      <c r="F31" s="49">
        <v>0.04</v>
      </c>
      <c r="G31" s="50" t="s">
        <v>5</v>
      </c>
      <c r="H31" s="49">
        <v>87.17</v>
      </c>
      <c r="I31" s="50">
        <v>0</v>
      </c>
      <c r="J31" s="49">
        <v>18.239999999999998</v>
      </c>
      <c r="K31" s="50">
        <v>0</v>
      </c>
      <c r="L31" s="2"/>
      <c r="M31" s="2"/>
      <c r="N31" s="49">
        <v>4.99</v>
      </c>
      <c r="O31" s="49">
        <v>27.91</v>
      </c>
      <c r="P31" s="49">
        <v>18.38</v>
      </c>
      <c r="Q31" s="49">
        <v>18.21</v>
      </c>
      <c r="R31" s="49">
        <v>30.32</v>
      </c>
      <c r="S31" s="49">
        <v>27.46</v>
      </c>
      <c r="T31" s="49">
        <v>29.89</v>
      </c>
      <c r="U31" s="49">
        <v>30.47</v>
      </c>
      <c r="V31" s="49">
        <v>25.65</v>
      </c>
      <c r="W31" s="50" t="s">
        <v>5</v>
      </c>
      <c r="X31" s="50" t="s">
        <v>5</v>
      </c>
      <c r="Y31" s="50" t="s">
        <v>5</v>
      </c>
      <c r="Z31" s="50" t="s">
        <v>5</v>
      </c>
      <c r="AA31" s="50" t="s">
        <v>5</v>
      </c>
      <c r="AB31" s="50" t="s">
        <v>5</v>
      </c>
      <c r="AC31" s="50" t="s">
        <v>5</v>
      </c>
      <c r="AD31" s="2"/>
      <c r="AE31" s="49">
        <v>1.7000000000000001E-2</v>
      </c>
      <c r="AF31" s="50" t="s">
        <v>5</v>
      </c>
      <c r="AG31" s="2"/>
      <c r="AH31" s="50" t="s">
        <v>5</v>
      </c>
      <c r="AI31" s="50" t="s">
        <v>5</v>
      </c>
      <c r="AJ31" s="50" t="s">
        <v>5</v>
      </c>
      <c r="AK31" s="50" t="s">
        <v>5</v>
      </c>
      <c r="AL31" s="50" t="s">
        <v>5</v>
      </c>
      <c r="AM31" s="50" t="s">
        <v>5</v>
      </c>
      <c r="AN31" s="2"/>
      <c r="AO31" s="49">
        <v>0.22</v>
      </c>
      <c r="AP31" s="49">
        <v>0.14000000000000001</v>
      </c>
      <c r="AQ31" s="49">
        <v>0.08</v>
      </c>
      <c r="AR31" s="50" t="s">
        <v>5</v>
      </c>
      <c r="AS31" s="50" t="s">
        <v>5</v>
      </c>
      <c r="AT31" s="49">
        <v>11.68</v>
      </c>
      <c r="AU31" s="49">
        <v>12.75</v>
      </c>
      <c r="AV31" s="49">
        <v>9.8699999999999992</v>
      </c>
      <c r="AW31" s="50" t="s">
        <v>5</v>
      </c>
      <c r="AX31" s="50" t="s">
        <v>5</v>
      </c>
      <c r="AY31" s="49">
        <v>27.91</v>
      </c>
      <c r="AZ31" s="49">
        <v>18.38</v>
      </c>
      <c r="BA31" s="49">
        <v>18.21</v>
      </c>
      <c r="BB31" s="50" t="s">
        <v>5</v>
      </c>
      <c r="BC31" s="50" t="s">
        <v>5</v>
      </c>
      <c r="BD31" s="56"/>
      <c r="BE31" s="56"/>
      <c r="BF31" s="50" t="s">
        <v>5</v>
      </c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</row>
    <row r="32" spans="1:137">
      <c r="A32" s="3">
        <v>2038</v>
      </c>
      <c r="B32" s="49">
        <v>0.06</v>
      </c>
      <c r="C32" s="49">
        <v>0.05</v>
      </c>
      <c r="D32" s="49">
        <v>0.06</v>
      </c>
      <c r="E32" s="49">
        <v>0.05</v>
      </c>
      <c r="F32" s="49">
        <v>0.04</v>
      </c>
      <c r="G32" s="50" t="s">
        <v>5</v>
      </c>
      <c r="H32" s="49">
        <v>86.81</v>
      </c>
      <c r="I32" s="50">
        <v>0</v>
      </c>
      <c r="J32" s="49">
        <v>18.23</v>
      </c>
      <c r="K32" s="50">
        <v>0</v>
      </c>
      <c r="L32" s="2"/>
      <c r="M32" s="2"/>
      <c r="N32" s="49">
        <v>4.99</v>
      </c>
      <c r="O32" s="49">
        <v>28.16</v>
      </c>
      <c r="P32" s="49">
        <v>18.489999999999998</v>
      </c>
      <c r="Q32" s="49">
        <v>18.3</v>
      </c>
      <c r="R32" s="49">
        <v>30.4</v>
      </c>
      <c r="S32" s="49">
        <v>27.4</v>
      </c>
      <c r="T32" s="49">
        <v>29.8</v>
      </c>
      <c r="U32" s="49">
        <v>30.55</v>
      </c>
      <c r="V32" s="49">
        <v>25.24</v>
      </c>
      <c r="W32" s="50" t="s">
        <v>5</v>
      </c>
      <c r="X32" s="50" t="s">
        <v>5</v>
      </c>
      <c r="Y32" s="50" t="s">
        <v>5</v>
      </c>
      <c r="Z32" s="50" t="s">
        <v>5</v>
      </c>
      <c r="AA32" s="50" t="s">
        <v>5</v>
      </c>
      <c r="AB32" s="50" t="s">
        <v>5</v>
      </c>
      <c r="AC32" s="50" t="s">
        <v>5</v>
      </c>
      <c r="AD32" s="2"/>
      <c r="AE32" s="49">
        <v>1.7000000000000001E-2</v>
      </c>
      <c r="AF32" s="50" t="s">
        <v>5</v>
      </c>
      <c r="AG32" s="2"/>
      <c r="AH32" s="50" t="s">
        <v>5</v>
      </c>
      <c r="AI32" s="50" t="s">
        <v>5</v>
      </c>
      <c r="AJ32" s="50" t="s">
        <v>5</v>
      </c>
      <c r="AK32" s="50" t="s">
        <v>5</v>
      </c>
      <c r="AL32" s="50" t="s">
        <v>5</v>
      </c>
      <c r="AM32" s="50" t="s">
        <v>5</v>
      </c>
      <c r="AN32" s="2"/>
      <c r="AO32" s="49">
        <v>0.21</v>
      </c>
      <c r="AP32" s="49">
        <v>0.14000000000000001</v>
      </c>
      <c r="AQ32" s="49">
        <v>0.08</v>
      </c>
      <c r="AR32" s="50" t="s">
        <v>5</v>
      </c>
      <c r="AS32" s="50" t="s">
        <v>5</v>
      </c>
      <c r="AT32" s="49">
        <v>11.61</v>
      </c>
      <c r="AU32" s="49">
        <v>12.63</v>
      </c>
      <c r="AV32" s="49">
        <v>9.65</v>
      </c>
      <c r="AW32" s="50" t="s">
        <v>5</v>
      </c>
      <c r="AX32" s="50" t="s">
        <v>5</v>
      </c>
      <c r="AY32" s="49">
        <v>28.16</v>
      </c>
      <c r="AZ32" s="49">
        <v>18.489999999999998</v>
      </c>
      <c r="BA32" s="49">
        <v>18.3</v>
      </c>
      <c r="BB32" s="50" t="s">
        <v>5</v>
      </c>
      <c r="BC32" s="50" t="s">
        <v>5</v>
      </c>
      <c r="BD32" s="56"/>
      <c r="BE32" s="56"/>
      <c r="BF32" s="50" t="s">
        <v>5</v>
      </c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</row>
    <row r="33" spans="1:137">
      <c r="A33" s="3">
        <v>2039</v>
      </c>
      <c r="B33" s="49">
        <v>0.06</v>
      </c>
      <c r="C33" s="49">
        <v>0.05</v>
      </c>
      <c r="D33" s="49">
        <v>0.06</v>
      </c>
      <c r="E33" s="49">
        <v>0.05</v>
      </c>
      <c r="F33" s="49">
        <v>0.04</v>
      </c>
      <c r="G33" s="50" t="s">
        <v>5</v>
      </c>
      <c r="H33" s="49">
        <v>86.43</v>
      </c>
      <c r="I33" s="50">
        <v>0</v>
      </c>
      <c r="J33" s="49">
        <v>18.22</v>
      </c>
      <c r="K33" s="50">
        <v>0</v>
      </c>
      <c r="L33" s="2"/>
      <c r="M33" s="2"/>
      <c r="N33" s="49">
        <v>4.99</v>
      </c>
      <c r="O33" s="49">
        <v>28.3</v>
      </c>
      <c r="P33" s="49">
        <v>18.61</v>
      </c>
      <c r="Q33" s="49">
        <v>18.43</v>
      </c>
      <c r="R33" s="49">
        <v>30.43</v>
      </c>
      <c r="S33" s="49">
        <v>27.37</v>
      </c>
      <c r="T33" s="49">
        <v>29.75</v>
      </c>
      <c r="U33" s="49">
        <v>30.72</v>
      </c>
      <c r="V33" s="49">
        <v>25.18</v>
      </c>
      <c r="W33" s="50" t="s">
        <v>5</v>
      </c>
      <c r="X33" s="50" t="s">
        <v>5</v>
      </c>
      <c r="Y33" s="50" t="s">
        <v>5</v>
      </c>
      <c r="Z33" s="50" t="s">
        <v>5</v>
      </c>
      <c r="AA33" s="50" t="s">
        <v>5</v>
      </c>
      <c r="AB33" s="50" t="s">
        <v>5</v>
      </c>
      <c r="AC33" s="50" t="s">
        <v>5</v>
      </c>
      <c r="AD33" s="2"/>
      <c r="AE33" s="49">
        <v>1.7000000000000001E-2</v>
      </c>
      <c r="AF33" s="50" t="s">
        <v>5</v>
      </c>
      <c r="AG33" s="2"/>
      <c r="AH33" s="50" t="s">
        <v>5</v>
      </c>
      <c r="AI33" s="50" t="s">
        <v>5</v>
      </c>
      <c r="AJ33" s="50" t="s">
        <v>5</v>
      </c>
      <c r="AK33" s="50" t="s">
        <v>5</v>
      </c>
      <c r="AL33" s="50" t="s">
        <v>5</v>
      </c>
      <c r="AM33" s="50" t="s">
        <v>5</v>
      </c>
      <c r="AN33" s="2"/>
      <c r="AO33" s="49">
        <v>0.21</v>
      </c>
      <c r="AP33" s="49">
        <v>0.14000000000000001</v>
      </c>
      <c r="AQ33" s="49">
        <v>0.08</v>
      </c>
      <c r="AR33" s="50" t="s">
        <v>5</v>
      </c>
      <c r="AS33" s="50" t="s">
        <v>5</v>
      </c>
      <c r="AT33" s="49">
        <v>11.58</v>
      </c>
      <c r="AU33" s="49">
        <v>12.55</v>
      </c>
      <c r="AV33" s="49">
        <v>9.52</v>
      </c>
      <c r="AW33" s="50" t="s">
        <v>5</v>
      </c>
      <c r="AX33" s="50" t="s">
        <v>5</v>
      </c>
      <c r="AY33" s="49">
        <v>28.3</v>
      </c>
      <c r="AZ33" s="49">
        <v>18.61</v>
      </c>
      <c r="BA33" s="49">
        <v>18.43</v>
      </c>
      <c r="BB33" s="50" t="s">
        <v>5</v>
      </c>
      <c r="BC33" s="50" t="s">
        <v>5</v>
      </c>
      <c r="BD33" s="56"/>
      <c r="BE33" s="56"/>
      <c r="BF33" s="50" t="s">
        <v>5</v>
      </c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</row>
    <row r="34" spans="1:137">
      <c r="A34" s="3">
        <v>2040</v>
      </c>
      <c r="B34" s="49">
        <v>7.0000000000000007E-2</v>
      </c>
      <c r="C34" s="49">
        <v>0.05</v>
      </c>
      <c r="D34" s="49">
        <v>7.0000000000000007E-2</v>
      </c>
      <c r="E34" s="49">
        <v>0.05</v>
      </c>
      <c r="F34" s="49">
        <v>0.04</v>
      </c>
      <c r="G34" s="50" t="s">
        <v>5</v>
      </c>
      <c r="H34" s="49">
        <v>86.07</v>
      </c>
      <c r="I34" s="50">
        <v>0</v>
      </c>
      <c r="J34" s="49">
        <v>18.22</v>
      </c>
      <c r="K34" s="50">
        <v>0</v>
      </c>
      <c r="L34" s="2"/>
      <c r="M34" s="2"/>
      <c r="N34" s="49">
        <v>4.99</v>
      </c>
      <c r="O34" s="49">
        <v>28.56</v>
      </c>
      <c r="P34" s="49">
        <v>18.82</v>
      </c>
      <c r="Q34" s="49">
        <v>18.64</v>
      </c>
      <c r="R34" s="49">
        <v>30.52</v>
      </c>
      <c r="S34" s="49">
        <v>27.48</v>
      </c>
      <c r="T34" s="49">
        <v>29.93</v>
      </c>
      <c r="U34" s="49">
        <v>30.96</v>
      </c>
      <c r="V34" s="49">
        <v>25.17</v>
      </c>
      <c r="W34" s="50" t="s">
        <v>5</v>
      </c>
      <c r="X34" s="50" t="s">
        <v>5</v>
      </c>
      <c r="Y34" s="50" t="s">
        <v>5</v>
      </c>
      <c r="Z34" s="50" t="s">
        <v>5</v>
      </c>
      <c r="AA34" s="50" t="s">
        <v>5</v>
      </c>
      <c r="AB34" s="50" t="s">
        <v>5</v>
      </c>
      <c r="AC34" s="50" t="s">
        <v>5</v>
      </c>
      <c r="AD34" s="2"/>
      <c r="AE34" s="49">
        <v>1.7000000000000001E-2</v>
      </c>
      <c r="AF34" s="50" t="s">
        <v>5</v>
      </c>
      <c r="AG34" s="2"/>
      <c r="AH34" s="50" t="s">
        <v>5</v>
      </c>
      <c r="AI34" s="50" t="s">
        <v>5</v>
      </c>
      <c r="AJ34" s="50" t="s">
        <v>5</v>
      </c>
      <c r="AK34" s="50" t="s">
        <v>5</v>
      </c>
      <c r="AL34" s="50" t="s">
        <v>5</v>
      </c>
      <c r="AM34" s="50" t="s">
        <v>5</v>
      </c>
      <c r="AN34" s="2"/>
      <c r="AO34" s="49">
        <v>0.24</v>
      </c>
      <c r="AP34" s="49">
        <v>0.16</v>
      </c>
      <c r="AQ34" s="49">
        <v>0.09</v>
      </c>
      <c r="AR34" s="50" t="s">
        <v>5</v>
      </c>
      <c r="AS34" s="50" t="s">
        <v>5</v>
      </c>
      <c r="AT34" s="49">
        <v>11.61</v>
      </c>
      <c r="AU34" s="49">
        <v>12.54</v>
      </c>
      <c r="AV34" s="49">
        <v>9.5</v>
      </c>
      <c r="AW34" s="50" t="s">
        <v>5</v>
      </c>
      <c r="AX34" s="50" t="s">
        <v>5</v>
      </c>
      <c r="AY34" s="49">
        <v>28.56</v>
      </c>
      <c r="AZ34" s="49">
        <v>18.82</v>
      </c>
      <c r="BA34" s="49">
        <v>18.64</v>
      </c>
      <c r="BB34" s="50" t="s">
        <v>5</v>
      </c>
      <c r="BC34" s="50" t="s">
        <v>5</v>
      </c>
      <c r="BD34" s="56"/>
      <c r="BE34" s="56"/>
      <c r="BF34" s="50" t="s">
        <v>5</v>
      </c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</row>
    <row r="35" spans="1:137">
      <c r="A35" s="3">
        <v>2041</v>
      </c>
      <c r="B35" s="49">
        <v>7.0000000000000007E-2</v>
      </c>
      <c r="C35" s="49">
        <v>0.05</v>
      </c>
      <c r="D35" s="49">
        <v>7.0000000000000007E-2</v>
      </c>
      <c r="E35" s="49">
        <v>0.05</v>
      </c>
      <c r="F35" s="49">
        <v>0.05</v>
      </c>
      <c r="G35" s="50" t="s">
        <v>5</v>
      </c>
      <c r="H35" s="49">
        <v>85.73</v>
      </c>
      <c r="I35" s="50">
        <v>0</v>
      </c>
      <c r="J35" s="49">
        <v>18.22</v>
      </c>
      <c r="K35" s="50">
        <v>0</v>
      </c>
      <c r="L35" s="2"/>
      <c r="M35" s="2"/>
      <c r="N35" s="49">
        <v>4.9400000000000004</v>
      </c>
      <c r="O35" s="49">
        <v>28.96</v>
      </c>
      <c r="P35" s="49">
        <v>19.05</v>
      </c>
      <c r="Q35" s="49">
        <v>18.87</v>
      </c>
      <c r="R35" s="49">
        <v>30.69</v>
      </c>
      <c r="S35" s="49">
        <v>27.7</v>
      </c>
      <c r="T35" s="49">
        <v>30.27</v>
      </c>
      <c r="U35" s="49">
        <v>31.2</v>
      </c>
      <c r="V35" s="49">
        <v>24.68</v>
      </c>
      <c r="W35" s="50" t="s">
        <v>5</v>
      </c>
      <c r="X35" s="50" t="s">
        <v>5</v>
      </c>
      <c r="Y35" s="50" t="s">
        <v>5</v>
      </c>
      <c r="Z35" s="50" t="s">
        <v>5</v>
      </c>
      <c r="AA35" s="50" t="s">
        <v>5</v>
      </c>
      <c r="AB35" s="50" t="s">
        <v>5</v>
      </c>
      <c r="AC35" s="50" t="s">
        <v>5</v>
      </c>
      <c r="AD35" s="2"/>
      <c r="AE35" s="49">
        <v>1.7000000000000001E-2</v>
      </c>
      <c r="AF35" s="50" t="s">
        <v>5</v>
      </c>
      <c r="AG35" s="2"/>
      <c r="AH35" s="50" t="s">
        <v>5</v>
      </c>
      <c r="AI35" s="50" t="s">
        <v>5</v>
      </c>
      <c r="AJ35" s="50" t="s">
        <v>5</v>
      </c>
      <c r="AK35" s="50" t="s">
        <v>5</v>
      </c>
      <c r="AL35" s="50" t="s">
        <v>5</v>
      </c>
      <c r="AM35" s="50" t="s">
        <v>5</v>
      </c>
      <c r="AN35" s="2"/>
      <c r="AO35" s="49">
        <v>0.24</v>
      </c>
      <c r="AP35" s="49">
        <v>0.16</v>
      </c>
      <c r="AQ35" s="49">
        <v>0.09</v>
      </c>
      <c r="AR35" s="50" t="s">
        <v>5</v>
      </c>
      <c r="AS35" s="50" t="s">
        <v>5</v>
      </c>
      <c r="AT35" s="49">
        <v>11.76</v>
      </c>
      <c r="AU35" s="49">
        <v>12.66</v>
      </c>
      <c r="AV35" s="49">
        <v>9.6300000000000008</v>
      </c>
      <c r="AW35" s="50" t="s">
        <v>5</v>
      </c>
      <c r="AX35" s="50" t="s">
        <v>5</v>
      </c>
      <c r="AY35" s="49">
        <v>28.96</v>
      </c>
      <c r="AZ35" s="49">
        <v>19.05</v>
      </c>
      <c r="BA35" s="49">
        <v>18.87</v>
      </c>
      <c r="BB35" s="50" t="s">
        <v>5</v>
      </c>
      <c r="BC35" s="50" t="s">
        <v>5</v>
      </c>
      <c r="BD35" s="56"/>
      <c r="BE35" s="56"/>
      <c r="BF35" s="50" t="s">
        <v>5</v>
      </c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</row>
    <row r="36" spans="1:137">
      <c r="A36" s="3">
        <v>2042</v>
      </c>
      <c r="B36" s="49">
        <v>7.0000000000000007E-2</v>
      </c>
      <c r="C36" s="49">
        <v>0.06</v>
      </c>
      <c r="D36" s="49">
        <v>0.08</v>
      </c>
      <c r="E36" s="49">
        <v>0.05</v>
      </c>
      <c r="F36" s="49">
        <v>0.05</v>
      </c>
      <c r="G36" s="50" t="s">
        <v>5</v>
      </c>
      <c r="H36" s="49">
        <v>85.54</v>
      </c>
      <c r="I36" s="50">
        <v>0</v>
      </c>
      <c r="J36" s="49">
        <v>18.21</v>
      </c>
      <c r="K36" s="50">
        <v>0</v>
      </c>
      <c r="L36" s="2"/>
      <c r="M36" s="2"/>
      <c r="N36" s="49">
        <v>4.9400000000000004</v>
      </c>
      <c r="O36" s="49">
        <v>29.1</v>
      </c>
      <c r="P36" s="49">
        <v>19.16</v>
      </c>
      <c r="Q36" s="49">
        <v>18.98</v>
      </c>
      <c r="R36" s="49">
        <v>30.85</v>
      </c>
      <c r="S36" s="49">
        <v>27.85</v>
      </c>
      <c r="T36" s="49">
        <v>30.51</v>
      </c>
      <c r="U36" s="49">
        <v>31.31</v>
      </c>
      <c r="V36" s="49">
        <v>24.43</v>
      </c>
      <c r="W36" s="50" t="s">
        <v>5</v>
      </c>
      <c r="X36" s="50" t="s">
        <v>5</v>
      </c>
      <c r="Y36" s="50" t="s">
        <v>5</v>
      </c>
      <c r="Z36" s="50" t="s">
        <v>5</v>
      </c>
      <c r="AA36" s="50" t="s">
        <v>5</v>
      </c>
      <c r="AB36" s="50" t="s">
        <v>5</v>
      </c>
      <c r="AC36" s="50" t="s">
        <v>5</v>
      </c>
      <c r="AD36" s="2"/>
      <c r="AE36" s="49">
        <v>1.7000000000000001E-2</v>
      </c>
      <c r="AF36" s="50" t="s">
        <v>5</v>
      </c>
      <c r="AG36" s="2"/>
      <c r="AH36" s="50" t="s">
        <v>5</v>
      </c>
      <c r="AI36" s="50" t="s">
        <v>5</v>
      </c>
      <c r="AJ36" s="50" t="s">
        <v>5</v>
      </c>
      <c r="AK36" s="50" t="s">
        <v>5</v>
      </c>
      <c r="AL36" s="50" t="s">
        <v>5</v>
      </c>
      <c r="AM36" s="50" t="s">
        <v>5</v>
      </c>
      <c r="AN36" s="2"/>
      <c r="AO36" s="49">
        <v>0.25</v>
      </c>
      <c r="AP36" s="49">
        <v>0.17</v>
      </c>
      <c r="AQ36" s="49">
        <v>0.09</v>
      </c>
      <c r="AR36" s="50" t="s">
        <v>5</v>
      </c>
      <c r="AS36" s="50" t="s">
        <v>5</v>
      </c>
      <c r="AT36" s="49">
        <v>11.88</v>
      </c>
      <c r="AU36" s="49">
        <v>12.75</v>
      </c>
      <c r="AV36" s="49">
        <v>9.7100000000000009</v>
      </c>
      <c r="AW36" s="50" t="s">
        <v>5</v>
      </c>
      <c r="AX36" s="50" t="s">
        <v>5</v>
      </c>
      <c r="AY36" s="49">
        <v>29.1</v>
      </c>
      <c r="AZ36" s="49">
        <v>19.16</v>
      </c>
      <c r="BA36" s="49">
        <v>18.98</v>
      </c>
      <c r="BB36" s="50" t="s">
        <v>5</v>
      </c>
      <c r="BC36" s="50" t="s">
        <v>5</v>
      </c>
      <c r="BD36" s="56"/>
      <c r="BE36" s="56"/>
      <c r="BF36" s="50" t="s">
        <v>5</v>
      </c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</row>
    <row r="37" spans="1:137">
      <c r="A37" s="3">
        <v>2043</v>
      </c>
      <c r="B37" s="49">
        <v>0.08</v>
      </c>
      <c r="C37" s="49">
        <v>0.06</v>
      </c>
      <c r="D37" s="49">
        <v>0.08</v>
      </c>
      <c r="E37" s="49">
        <v>0.06</v>
      </c>
      <c r="F37" s="49">
        <v>0.05</v>
      </c>
      <c r="G37" s="50" t="s">
        <v>5</v>
      </c>
      <c r="H37" s="49">
        <v>85.35</v>
      </c>
      <c r="I37" s="50">
        <v>0</v>
      </c>
      <c r="J37" s="49">
        <v>18.2</v>
      </c>
      <c r="K37" s="50">
        <v>0</v>
      </c>
      <c r="L37" s="2"/>
      <c r="M37" s="2"/>
      <c r="N37" s="49">
        <v>4.9400000000000004</v>
      </c>
      <c r="O37" s="49">
        <v>29.57</v>
      </c>
      <c r="P37" s="49">
        <v>19.46</v>
      </c>
      <c r="Q37" s="49">
        <v>19.27</v>
      </c>
      <c r="R37" s="49">
        <v>31.21</v>
      </c>
      <c r="S37" s="49">
        <v>28.31</v>
      </c>
      <c r="T37" s="49">
        <v>31.24</v>
      </c>
      <c r="U37" s="49">
        <v>31.71</v>
      </c>
      <c r="V37" s="49">
        <v>24.46</v>
      </c>
      <c r="W37" s="50" t="s">
        <v>5</v>
      </c>
      <c r="X37" s="50" t="s">
        <v>5</v>
      </c>
      <c r="Y37" s="50" t="s">
        <v>5</v>
      </c>
      <c r="Z37" s="50" t="s">
        <v>5</v>
      </c>
      <c r="AA37" s="50" t="s">
        <v>5</v>
      </c>
      <c r="AB37" s="50" t="s">
        <v>5</v>
      </c>
      <c r="AC37" s="50" t="s">
        <v>5</v>
      </c>
      <c r="AD37" s="2"/>
      <c r="AE37" s="49">
        <v>1.7000000000000001E-2</v>
      </c>
      <c r="AF37" s="50" t="s">
        <v>5</v>
      </c>
      <c r="AG37" s="2"/>
      <c r="AH37" s="50" t="s">
        <v>5</v>
      </c>
      <c r="AI37" s="50" t="s">
        <v>5</v>
      </c>
      <c r="AJ37" s="50" t="s">
        <v>5</v>
      </c>
      <c r="AK37" s="50" t="s">
        <v>5</v>
      </c>
      <c r="AL37" s="50" t="s">
        <v>5</v>
      </c>
      <c r="AM37" s="50" t="s">
        <v>5</v>
      </c>
      <c r="AN37" s="2"/>
      <c r="AO37" s="49">
        <v>0.25</v>
      </c>
      <c r="AP37" s="49">
        <v>0.17</v>
      </c>
      <c r="AQ37" s="49">
        <v>0.09</v>
      </c>
      <c r="AR37" s="50" t="s">
        <v>5</v>
      </c>
      <c r="AS37" s="50" t="s">
        <v>5</v>
      </c>
      <c r="AT37" s="49">
        <v>12.01</v>
      </c>
      <c r="AU37" s="49">
        <v>12.84</v>
      </c>
      <c r="AV37" s="49">
        <v>9.7799999999999994</v>
      </c>
      <c r="AW37" s="50" t="s">
        <v>5</v>
      </c>
      <c r="AX37" s="50" t="s">
        <v>5</v>
      </c>
      <c r="AY37" s="49">
        <v>29.57</v>
      </c>
      <c r="AZ37" s="49">
        <v>19.46</v>
      </c>
      <c r="BA37" s="49">
        <v>19.27</v>
      </c>
      <c r="BB37" s="50" t="s">
        <v>5</v>
      </c>
      <c r="BC37" s="50" t="s">
        <v>5</v>
      </c>
      <c r="BD37" s="56"/>
      <c r="BE37" s="56"/>
      <c r="BF37" s="50" t="s">
        <v>5</v>
      </c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</row>
    <row r="38" spans="1:137">
      <c r="A38" s="3">
        <v>2044</v>
      </c>
      <c r="B38" s="49">
        <v>0.08</v>
      </c>
      <c r="C38" s="49">
        <v>0.06</v>
      </c>
      <c r="D38" s="49">
        <v>0.08</v>
      </c>
      <c r="E38" s="49">
        <v>0.06</v>
      </c>
      <c r="F38" s="49">
        <v>0.05</v>
      </c>
      <c r="G38" s="50" t="s">
        <v>5</v>
      </c>
      <c r="H38" s="49">
        <v>85.18</v>
      </c>
      <c r="I38" s="50">
        <v>0</v>
      </c>
      <c r="J38" s="49">
        <v>18.2</v>
      </c>
      <c r="K38" s="50">
        <v>0</v>
      </c>
      <c r="L38" s="2"/>
      <c r="M38" s="2"/>
      <c r="N38" s="49">
        <v>4.9400000000000004</v>
      </c>
      <c r="O38" s="49">
        <v>29.83</v>
      </c>
      <c r="P38" s="49">
        <v>19.649999999999999</v>
      </c>
      <c r="Q38" s="49">
        <v>19.46</v>
      </c>
      <c r="R38" s="49">
        <v>31.5</v>
      </c>
      <c r="S38" s="49">
        <v>28.54</v>
      </c>
      <c r="T38" s="49">
        <v>31.62</v>
      </c>
      <c r="U38" s="49">
        <v>31.97</v>
      </c>
      <c r="V38" s="49">
        <v>23.38</v>
      </c>
      <c r="W38" s="50" t="s">
        <v>5</v>
      </c>
      <c r="X38" s="50" t="s">
        <v>5</v>
      </c>
      <c r="Y38" s="50" t="s">
        <v>5</v>
      </c>
      <c r="Z38" s="50" t="s">
        <v>5</v>
      </c>
      <c r="AA38" s="50" t="s">
        <v>5</v>
      </c>
      <c r="AB38" s="50" t="s">
        <v>5</v>
      </c>
      <c r="AC38" s="50" t="s">
        <v>5</v>
      </c>
      <c r="AD38" s="2"/>
      <c r="AE38" s="49">
        <v>1.7000000000000001E-2</v>
      </c>
      <c r="AF38" s="50" t="s">
        <v>5</v>
      </c>
      <c r="AG38" s="2"/>
      <c r="AH38" s="50" t="s">
        <v>5</v>
      </c>
      <c r="AI38" s="50" t="s">
        <v>5</v>
      </c>
      <c r="AJ38" s="50" t="s">
        <v>5</v>
      </c>
      <c r="AK38" s="50" t="s">
        <v>5</v>
      </c>
      <c r="AL38" s="50" t="s">
        <v>5</v>
      </c>
      <c r="AM38" s="50" t="s">
        <v>5</v>
      </c>
      <c r="AN38" s="2"/>
      <c r="AO38" s="49">
        <v>0.25</v>
      </c>
      <c r="AP38" s="49">
        <v>0.17</v>
      </c>
      <c r="AQ38" s="49">
        <v>0.09</v>
      </c>
      <c r="AR38" s="50" t="s">
        <v>5</v>
      </c>
      <c r="AS38" s="50" t="s">
        <v>5</v>
      </c>
      <c r="AT38" s="49">
        <v>12.09</v>
      </c>
      <c r="AU38" s="49">
        <v>12.88</v>
      </c>
      <c r="AV38" s="49">
        <v>9.8000000000000007</v>
      </c>
      <c r="AW38" s="50" t="s">
        <v>5</v>
      </c>
      <c r="AX38" s="50" t="s">
        <v>5</v>
      </c>
      <c r="AY38" s="49">
        <v>29.83</v>
      </c>
      <c r="AZ38" s="49">
        <v>19.649999999999999</v>
      </c>
      <c r="BA38" s="49">
        <v>19.46</v>
      </c>
      <c r="BB38" s="50" t="s">
        <v>5</v>
      </c>
      <c r="BC38" s="50" t="s">
        <v>5</v>
      </c>
      <c r="BD38" s="56"/>
      <c r="BE38" s="56"/>
      <c r="BF38" s="50" t="s">
        <v>5</v>
      </c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</row>
    <row r="39" spans="1:137">
      <c r="A39" s="3">
        <v>2045</v>
      </c>
      <c r="B39" s="49">
        <v>0.08</v>
      </c>
      <c r="C39" s="49">
        <v>0.06</v>
      </c>
      <c r="D39" s="49">
        <v>0.08</v>
      </c>
      <c r="E39" s="49">
        <v>0.06</v>
      </c>
      <c r="F39" s="49">
        <v>0.05</v>
      </c>
      <c r="G39" s="50" t="s">
        <v>5</v>
      </c>
      <c r="H39" s="49">
        <v>85.03</v>
      </c>
      <c r="I39" s="50">
        <v>0</v>
      </c>
      <c r="J39" s="49">
        <v>18.2</v>
      </c>
      <c r="K39" s="50">
        <v>0</v>
      </c>
      <c r="L39" s="2"/>
      <c r="M39" s="2"/>
      <c r="N39" s="49">
        <v>4.93</v>
      </c>
      <c r="O39" s="49">
        <v>29.94</v>
      </c>
      <c r="P39" s="49">
        <v>19.71</v>
      </c>
      <c r="Q39" s="49">
        <v>19.52</v>
      </c>
      <c r="R39" s="49">
        <v>31.77</v>
      </c>
      <c r="S39" s="49">
        <v>28.76</v>
      </c>
      <c r="T39" s="49">
        <v>31.97</v>
      </c>
      <c r="U39" s="49">
        <v>32.07</v>
      </c>
      <c r="V39" s="49">
        <v>23.44</v>
      </c>
      <c r="W39" s="50" t="s">
        <v>5</v>
      </c>
      <c r="X39" s="50" t="s">
        <v>5</v>
      </c>
      <c r="Y39" s="50" t="s">
        <v>5</v>
      </c>
      <c r="Z39" s="50" t="s">
        <v>5</v>
      </c>
      <c r="AA39" s="50" t="s">
        <v>5</v>
      </c>
      <c r="AB39" s="50" t="s">
        <v>5</v>
      </c>
      <c r="AC39" s="50" t="s">
        <v>5</v>
      </c>
      <c r="AD39" s="2"/>
      <c r="AE39" s="49">
        <v>1.7000000000000001E-2</v>
      </c>
      <c r="AF39" s="50" t="s">
        <v>5</v>
      </c>
      <c r="AG39" s="2"/>
      <c r="AH39" s="50" t="s">
        <v>5</v>
      </c>
      <c r="AI39" s="50" t="s">
        <v>5</v>
      </c>
      <c r="AJ39" s="50" t="s">
        <v>5</v>
      </c>
      <c r="AK39" s="50" t="s">
        <v>5</v>
      </c>
      <c r="AL39" s="50" t="s">
        <v>5</v>
      </c>
      <c r="AM39" s="50" t="s">
        <v>5</v>
      </c>
      <c r="AN39" s="2"/>
      <c r="AO39" s="49">
        <v>0.25</v>
      </c>
      <c r="AP39" s="49">
        <v>0.17</v>
      </c>
      <c r="AQ39" s="49">
        <v>0.09</v>
      </c>
      <c r="AR39" s="50" t="s">
        <v>5</v>
      </c>
      <c r="AS39" s="50" t="s">
        <v>5</v>
      </c>
      <c r="AT39" s="49">
        <v>12.2</v>
      </c>
      <c r="AU39" s="49">
        <v>12.96</v>
      </c>
      <c r="AV39" s="49">
        <v>9.86</v>
      </c>
      <c r="AW39" s="50" t="s">
        <v>5</v>
      </c>
      <c r="AX39" s="50" t="s">
        <v>5</v>
      </c>
      <c r="AY39" s="49">
        <v>29.94</v>
      </c>
      <c r="AZ39" s="49">
        <v>19.71</v>
      </c>
      <c r="BA39" s="49">
        <v>19.52</v>
      </c>
      <c r="BB39" s="50" t="s">
        <v>5</v>
      </c>
      <c r="BC39" s="50" t="s">
        <v>5</v>
      </c>
      <c r="BD39" s="56"/>
      <c r="BE39" s="56"/>
      <c r="BF39" s="50" t="s">
        <v>5</v>
      </c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</row>
    <row r="40" spans="1:137">
      <c r="A40" s="3">
        <v>2046</v>
      </c>
      <c r="B40" s="49">
        <v>0.08</v>
      </c>
      <c r="C40" s="49">
        <v>0.06</v>
      </c>
      <c r="D40" s="49">
        <v>0.08</v>
      </c>
      <c r="E40" s="49">
        <v>0.06</v>
      </c>
      <c r="F40" s="49">
        <v>0.05</v>
      </c>
      <c r="G40" s="50" t="s">
        <v>5</v>
      </c>
      <c r="H40" s="49">
        <v>84.91</v>
      </c>
      <c r="I40" s="50">
        <v>0</v>
      </c>
      <c r="J40" s="49">
        <v>18.190000000000001</v>
      </c>
      <c r="K40" s="50">
        <v>0</v>
      </c>
      <c r="L40" s="2"/>
      <c r="M40" s="2"/>
      <c r="N40" s="49">
        <v>4.93</v>
      </c>
      <c r="O40" s="49">
        <v>30.3</v>
      </c>
      <c r="P40" s="49">
        <v>19.95</v>
      </c>
      <c r="Q40" s="49">
        <v>19.760000000000002</v>
      </c>
      <c r="R40" s="49">
        <v>32.06</v>
      </c>
      <c r="S40" s="49">
        <v>29.01</v>
      </c>
      <c r="T40" s="49">
        <v>32.39</v>
      </c>
      <c r="U40" s="49">
        <v>32.340000000000003</v>
      </c>
      <c r="V40" s="49">
        <v>23.01</v>
      </c>
      <c r="W40" s="50" t="s">
        <v>5</v>
      </c>
      <c r="X40" s="50" t="s">
        <v>5</v>
      </c>
      <c r="Y40" s="50" t="s">
        <v>5</v>
      </c>
      <c r="Z40" s="50" t="s">
        <v>5</v>
      </c>
      <c r="AA40" s="50" t="s">
        <v>5</v>
      </c>
      <c r="AB40" s="50" t="s">
        <v>5</v>
      </c>
      <c r="AC40" s="50" t="s">
        <v>5</v>
      </c>
      <c r="AD40" s="2"/>
      <c r="AE40" s="49">
        <v>1.7000000000000001E-2</v>
      </c>
      <c r="AF40" s="50" t="s">
        <v>5</v>
      </c>
      <c r="AG40" s="2"/>
      <c r="AH40" s="50" t="s">
        <v>5</v>
      </c>
      <c r="AI40" s="50" t="s">
        <v>5</v>
      </c>
      <c r="AJ40" s="50" t="s">
        <v>5</v>
      </c>
      <c r="AK40" s="50" t="s">
        <v>5</v>
      </c>
      <c r="AL40" s="50" t="s">
        <v>5</v>
      </c>
      <c r="AM40" s="50" t="s">
        <v>5</v>
      </c>
      <c r="AN40" s="2"/>
      <c r="AO40" s="49">
        <v>0.25</v>
      </c>
      <c r="AP40" s="49">
        <v>0.17</v>
      </c>
      <c r="AQ40" s="49">
        <v>0.09</v>
      </c>
      <c r="AR40" s="50" t="s">
        <v>5</v>
      </c>
      <c r="AS40" s="50" t="s">
        <v>5</v>
      </c>
      <c r="AT40" s="49">
        <v>12.33</v>
      </c>
      <c r="AU40" s="49">
        <v>13.07</v>
      </c>
      <c r="AV40" s="49">
        <v>9.9600000000000009</v>
      </c>
      <c r="AW40" s="50" t="s">
        <v>5</v>
      </c>
      <c r="AX40" s="50" t="s">
        <v>5</v>
      </c>
      <c r="AY40" s="49">
        <v>30.3</v>
      </c>
      <c r="AZ40" s="49">
        <v>19.95</v>
      </c>
      <c r="BA40" s="49">
        <v>19.760000000000002</v>
      </c>
      <c r="BB40" s="50" t="s">
        <v>5</v>
      </c>
      <c r="BC40" s="50" t="s">
        <v>5</v>
      </c>
      <c r="BD40" s="56"/>
      <c r="BE40" s="56"/>
      <c r="BF40" s="50" t="s">
        <v>5</v>
      </c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</row>
    <row r="41" spans="1:137">
      <c r="A41" s="3">
        <v>2047</v>
      </c>
      <c r="B41" s="49">
        <v>0.08</v>
      </c>
      <c r="C41" s="49">
        <v>0.06</v>
      </c>
      <c r="D41" s="49">
        <v>0.08</v>
      </c>
      <c r="E41" s="49">
        <v>0.06</v>
      </c>
      <c r="F41" s="49">
        <v>0.05</v>
      </c>
      <c r="G41" s="50" t="s">
        <v>5</v>
      </c>
      <c r="H41" s="49">
        <v>84.79</v>
      </c>
      <c r="I41" s="50">
        <v>0</v>
      </c>
      <c r="J41" s="49">
        <v>18.18</v>
      </c>
      <c r="K41" s="50">
        <v>0</v>
      </c>
      <c r="L41" s="2"/>
      <c r="M41" s="2"/>
      <c r="N41" s="49">
        <v>4.92</v>
      </c>
      <c r="O41" s="49">
        <v>31.07</v>
      </c>
      <c r="P41" s="49">
        <v>20.440000000000001</v>
      </c>
      <c r="Q41" s="49">
        <v>20.239999999999998</v>
      </c>
      <c r="R41" s="49">
        <v>32.520000000000003</v>
      </c>
      <c r="S41" s="49">
        <v>29.55</v>
      </c>
      <c r="T41" s="49">
        <v>33.26</v>
      </c>
      <c r="U41" s="49">
        <v>33.04</v>
      </c>
      <c r="V41" s="49">
        <v>23.39</v>
      </c>
      <c r="W41" s="50" t="s">
        <v>5</v>
      </c>
      <c r="X41" s="50" t="s">
        <v>5</v>
      </c>
      <c r="Y41" s="50" t="s">
        <v>5</v>
      </c>
      <c r="Z41" s="50" t="s">
        <v>5</v>
      </c>
      <c r="AA41" s="50" t="s">
        <v>5</v>
      </c>
      <c r="AB41" s="50" t="s">
        <v>5</v>
      </c>
      <c r="AC41" s="50" t="s">
        <v>5</v>
      </c>
      <c r="AD41" s="2"/>
      <c r="AE41" s="49">
        <v>1.7000000000000001E-2</v>
      </c>
      <c r="AF41" s="50" t="s">
        <v>5</v>
      </c>
      <c r="AG41" s="2"/>
      <c r="AH41" s="50" t="s">
        <v>5</v>
      </c>
      <c r="AI41" s="50" t="s">
        <v>5</v>
      </c>
      <c r="AJ41" s="50" t="s">
        <v>5</v>
      </c>
      <c r="AK41" s="50" t="s">
        <v>5</v>
      </c>
      <c r="AL41" s="50" t="s">
        <v>5</v>
      </c>
      <c r="AM41" s="50" t="s">
        <v>5</v>
      </c>
      <c r="AN41" s="2"/>
      <c r="AO41" s="49">
        <v>0.26</v>
      </c>
      <c r="AP41" s="49">
        <v>0.17</v>
      </c>
      <c r="AQ41" s="49">
        <v>0.1</v>
      </c>
      <c r="AR41" s="50" t="s">
        <v>5</v>
      </c>
      <c r="AS41" s="50" t="s">
        <v>5</v>
      </c>
      <c r="AT41" s="49">
        <v>12.38</v>
      </c>
      <c r="AU41" s="49">
        <v>13.07</v>
      </c>
      <c r="AV41" s="49">
        <v>9.91</v>
      </c>
      <c r="AW41" s="50" t="s">
        <v>5</v>
      </c>
      <c r="AX41" s="50" t="s">
        <v>5</v>
      </c>
      <c r="AY41" s="49">
        <v>31.07</v>
      </c>
      <c r="AZ41" s="49">
        <v>20.440000000000001</v>
      </c>
      <c r="BA41" s="49">
        <v>20.239999999999998</v>
      </c>
      <c r="BB41" s="50" t="s">
        <v>5</v>
      </c>
      <c r="BC41" s="50" t="s">
        <v>5</v>
      </c>
      <c r="BD41" s="56"/>
      <c r="BE41" s="56"/>
      <c r="BF41" s="50" t="s">
        <v>5</v>
      </c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</row>
    <row r="42" spans="1:137">
      <c r="A42" s="3">
        <v>2048</v>
      </c>
      <c r="B42" s="49">
        <v>0.08</v>
      </c>
      <c r="C42" s="49">
        <v>0.06</v>
      </c>
      <c r="D42" s="49">
        <v>0.08</v>
      </c>
      <c r="E42" s="49">
        <v>0.06</v>
      </c>
      <c r="F42" s="49">
        <v>0.05</v>
      </c>
      <c r="G42" s="50" t="s">
        <v>5</v>
      </c>
      <c r="H42" s="49">
        <v>84.68</v>
      </c>
      <c r="I42" s="50">
        <v>0</v>
      </c>
      <c r="J42" s="49">
        <v>18.170000000000002</v>
      </c>
      <c r="K42" s="50">
        <v>0</v>
      </c>
      <c r="L42" s="2"/>
      <c r="M42" s="2"/>
      <c r="N42" s="49">
        <v>4.92</v>
      </c>
      <c r="O42" s="49">
        <v>31.08</v>
      </c>
      <c r="P42" s="49">
        <v>20.440000000000001</v>
      </c>
      <c r="Q42" s="49">
        <v>20.25</v>
      </c>
      <c r="R42" s="49">
        <v>32.840000000000003</v>
      </c>
      <c r="S42" s="49">
        <v>29.74</v>
      </c>
      <c r="T42" s="49">
        <v>33.58</v>
      </c>
      <c r="U42" s="49">
        <v>33.1</v>
      </c>
      <c r="V42" s="49">
        <v>23.51</v>
      </c>
      <c r="W42" s="50" t="s">
        <v>5</v>
      </c>
      <c r="X42" s="50" t="s">
        <v>5</v>
      </c>
      <c r="Y42" s="50" t="s">
        <v>5</v>
      </c>
      <c r="Z42" s="50" t="s">
        <v>5</v>
      </c>
      <c r="AA42" s="50" t="s">
        <v>5</v>
      </c>
      <c r="AB42" s="50" t="s">
        <v>5</v>
      </c>
      <c r="AC42" s="50" t="s">
        <v>5</v>
      </c>
      <c r="AD42" s="2"/>
      <c r="AE42" s="49">
        <v>1.7000000000000001E-2</v>
      </c>
      <c r="AF42" s="50" t="s">
        <v>5</v>
      </c>
      <c r="AG42" s="2"/>
      <c r="AH42" s="50" t="s">
        <v>5</v>
      </c>
      <c r="AI42" s="50" t="s">
        <v>5</v>
      </c>
      <c r="AJ42" s="50" t="s">
        <v>5</v>
      </c>
      <c r="AK42" s="50" t="s">
        <v>5</v>
      </c>
      <c r="AL42" s="50" t="s">
        <v>5</v>
      </c>
      <c r="AM42" s="50" t="s">
        <v>5</v>
      </c>
      <c r="AN42" s="2"/>
      <c r="AO42" s="49">
        <v>0.26</v>
      </c>
      <c r="AP42" s="49">
        <v>0.17</v>
      </c>
      <c r="AQ42" s="49">
        <v>0.1</v>
      </c>
      <c r="AR42" s="50" t="s">
        <v>5</v>
      </c>
      <c r="AS42" s="50" t="s">
        <v>5</v>
      </c>
      <c r="AT42" s="49">
        <v>12.37</v>
      </c>
      <c r="AU42" s="49">
        <v>13.01</v>
      </c>
      <c r="AV42" s="49">
        <v>9.82</v>
      </c>
      <c r="AW42" s="50" t="s">
        <v>5</v>
      </c>
      <c r="AX42" s="50" t="s">
        <v>5</v>
      </c>
      <c r="AY42" s="49">
        <v>31.08</v>
      </c>
      <c r="AZ42" s="49">
        <v>20.440000000000001</v>
      </c>
      <c r="BA42" s="49">
        <v>20.25</v>
      </c>
      <c r="BB42" s="50" t="s">
        <v>5</v>
      </c>
      <c r="BC42" s="50" t="s">
        <v>5</v>
      </c>
      <c r="BD42" s="56"/>
      <c r="BE42" s="56"/>
      <c r="BF42" s="50" t="s">
        <v>5</v>
      </c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</row>
    <row r="43" spans="1:137">
      <c r="A43" s="3">
        <v>2049</v>
      </c>
      <c r="B43" s="49">
        <v>0.08</v>
      </c>
      <c r="C43" s="49">
        <v>0.06</v>
      </c>
      <c r="D43" s="49">
        <v>0.08</v>
      </c>
      <c r="E43" s="49">
        <v>0.06</v>
      </c>
      <c r="F43" s="49">
        <v>0.05</v>
      </c>
      <c r="G43" s="50" t="s">
        <v>5</v>
      </c>
      <c r="H43" s="49">
        <v>83.26</v>
      </c>
      <c r="I43" s="50">
        <v>0</v>
      </c>
      <c r="J43" s="49">
        <v>17.64</v>
      </c>
      <c r="K43" s="50">
        <v>0</v>
      </c>
      <c r="L43" s="2"/>
      <c r="M43" s="2"/>
      <c r="N43" s="49">
        <v>4.78</v>
      </c>
      <c r="O43" s="49">
        <v>31.16</v>
      </c>
      <c r="P43" s="49">
        <v>20.440000000000001</v>
      </c>
      <c r="Q43" s="49">
        <v>20.239999999999998</v>
      </c>
      <c r="R43" s="49">
        <v>33.07</v>
      </c>
      <c r="S43" s="49">
        <v>29.87</v>
      </c>
      <c r="T43" s="49">
        <v>33.799999999999997</v>
      </c>
      <c r="U43" s="49">
        <v>33.06</v>
      </c>
      <c r="V43" s="49">
        <v>23.56</v>
      </c>
      <c r="W43" s="50" t="s">
        <v>5</v>
      </c>
      <c r="X43" s="50" t="s">
        <v>5</v>
      </c>
      <c r="Y43" s="50" t="s">
        <v>5</v>
      </c>
      <c r="Z43" s="50" t="s">
        <v>5</v>
      </c>
      <c r="AA43" s="50" t="s">
        <v>5</v>
      </c>
      <c r="AB43" s="50" t="s">
        <v>5</v>
      </c>
      <c r="AC43" s="50" t="s">
        <v>5</v>
      </c>
      <c r="AD43" s="2"/>
      <c r="AE43" s="49">
        <v>1.7000000000000001E-2</v>
      </c>
      <c r="AF43" s="50" t="s">
        <v>5</v>
      </c>
      <c r="AG43" s="2"/>
      <c r="AH43" s="50" t="s">
        <v>5</v>
      </c>
      <c r="AI43" s="50" t="s">
        <v>5</v>
      </c>
      <c r="AJ43" s="50" t="s">
        <v>5</v>
      </c>
      <c r="AK43" s="50" t="s">
        <v>5</v>
      </c>
      <c r="AL43" s="50" t="s">
        <v>5</v>
      </c>
      <c r="AM43" s="50" t="s">
        <v>5</v>
      </c>
      <c r="AN43" s="2"/>
      <c r="AO43" s="49">
        <v>0.25</v>
      </c>
      <c r="AP43" s="49">
        <v>0.17</v>
      </c>
      <c r="AQ43" s="49">
        <v>0.09</v>
      </c>
      <c r="AR43" s="50" t="s">
        <v>5</v>
      </c>
      <c r="AS43" s="50" t="s">
        <v>5</v>
      </c>
      <c r="AT43" s="49">
        <v>12.37</v>
      </c>
      <c r="AU43" s="49">
        <v>12.98</v>
      </c>
      <c r="AV43" s="49">
        <v>9.7100000000000009</v>
      </c>
      <c r="AW43" s="50" t="s">
        <v>5</v>
      </c>
      <c r="AX43" s="50" t="s">
        <v>5</v>
      </c>
      <c r="AY43" s="49">
        <v>31.16</v>
      </c>
      <c r="AZ43" s="49">
        <v>20.440000000000001</v>
      </c>
      <c r="BA43" s="49">
        <v>20.239999999999998</v>
      </c>
      <c r="BB43" s="50" t="s">
        <v>5</v>
      </c>
      <c r="BC43" s="50" t="s">
        <v>5</v>
      </c>
      <c r="BD43" s="56"/>
      <c r="BE43" s="56"/>
      <c r="BF43" s="50" t="s">
        <v>5</v>
      </c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</row>
    <row r="44" spans="1:137">
      <c r="A44" s="3">
        <v>2050</v>
      </c>
      <c r="B44" s="49">
        <v>0.08</v>
      </c>
      <c r="C44" s="49">
        <v>0.06</v>
      </c>
      <c r="D44" s="49">
        <v>0.08</v>
      </c>
      <c r="E44" s="49">
        <v>0.06</v>
      </c>
      <c r="F44" s="49">
        <v>0.05</v>
      </c>
      <c r="G44" s="50" t="s">
        <v>5</v>
      </c>
      <c r="H44" s="49">
        <v>81.709999999999994</v>
      </c>
      <c r="I44" s="50">
        <v>0</v>
      </c>
      <c r="J44" s="49">
        <v>17.100000000000001</v>
      </c>
      <c r="K44" s="50">
        <v>0</v>
      </c>
      <c r="L44" s="2"/>
      <c r="M44" s="2"/>
      <c r="N44" s="49">
        <v>4.68</v>
      </c>
      <c r="O44" s="49">
        <v>31.29</v>
      </c>
      <c r="P44" s="49">
        <v>20.55</v>
      </c>
      <c r="Q44" s="49">
        <v>20.34</v>
      </c>
      <c r="R44" s="49">
        <v>33.229999999999997</v>
      </c>
      <c r="S44" s="49">
        <v>29.95</v>
      </c>
      <c r="T44" s="49">
        <v>33.93</v>
      </c>
      <c r="U44" s="49">
        <v>33.130000000000003</v>
      </c>
      <c r="V44" s="49">
        <v>23.79</v>
      </c>
      <c r="W44" s="50" t="s">
        <v>5</v>
      </c>
      <c r="X44" s="50" t="s">
        <v>5</v>
      </c>
      <c r="Y44" s="50" t="s">
        <v>5</v>
      </c>
      <c r="Z44" s="50" t="s">
        <v>5</v>
      </c>
      <c r="AA44" s="50" t="s">
        <v>5</v>
      </c>
      <c r="AB44" s="50" t="s">
        <v>5</v>
      </c>
      <c r="AC44" s="50" t="s">
        <v>5</v>
      </c>
      <c r="AD44" s="2"/>
      <c r="AE44" s="49">
        <v>1.7000000000000001E-2</v>
      </c>
      <c r="AF44" s="50" t="s">
        <v>5</v>
      </c>
      <c r="AG44" s="2"/>
      <c r="AH44" s="50" t="s">
        <v>5</v>
      </c>
      <c r="AI44" s="50" t="s">
        <v>5</v>
      </c>
      <c r="AJ44" s="50" t="s">
        <v>5</v>
      </c>
      <c r="AK44" s="50" t="s">
        <v>5</v>
      </c>
      <c r="AL44" s="50" t="s">
        <v>5</v>
      </c>
      <c r="AM44" s="50" t="s">
        <v>5</v>
      </c>
      <c r="AN44" s="2"/>
      <c r="AO44" s="49">
        <v>0.25</v>
      </c>
      <c r="AP44" s="49">
        <v>0.17</v>
      </c>
      <c r="AQ44" s="49">
        <v>0.09</v>
      </c>
      <c r="AR44" s="50" t="s">
        <v>5</v>
      </c>
      <c r="AS44" s="50" t="s">
        <v>5</v>
      </c>
      <c r="AT44" s="49">
        <v>12.35</v>
      </c>
      <c r="AU44" s="49">
        <v>12.92</v>
      </c>
      <c r="AV44" s="49">
        <v>9.61</v>
      </c>
      <c r="AW44" s="50" t="s">
        <v>5</v>
      </c>
      <c r="AX44" s="50" t="s">
        <v>5</v>
      </c>
      <c r="AY44" s="49">
        <v>31.29</v>
      </c>
      <c r="AZ44" s="49">
        <v>20.55</v>
      </c>
      <c r="BA44" s="49">
        <v>20.34</v>
      </c>
      <c r="BB44" s="50" t="s">
        <v>5</v>
      </c>
      <c r="BC44" s="50" t="s">
        <v>5</v>
      </c>
      <c r="BD44" s="56"/>
      <c r="BE44" s="56"/>
      <c r="BF44" s="50" t="s">
        <v>5</v>
      </c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</row>
    <row r="45" spans="1:137">
      <c r="A45" s="3">
        <v>2051</v>
      </c>
      <c r="B45" s="51">
        <v>0.08</v>
      </c>
      <c r="C45" s="51">
        <v>0.06</v>
      </c>
      <c r="D45" s="51">
        <v>0.08</v>
      </c>
      <c r="E45" s="51">
        <v>0.06</v>
      </c>
      <c r="F45" s="51">
        <v>0.05</v>
      </c>
      <c r="G45" s="52" t="s">
        <v>5</v>
      </c>
      <c r="H45" s="51">
        <v>81.709999999999994</v>
      </c>
      <c r="I45" s="50">
        <v>0</v>
      </c>
      <c r="J45" s="51">
        <v>17.100000000000001</v>
      </c>
      <c r="K45" s="50">
        <v>0</v>
      </c>
      <c r="L45" s="2"/>
      <c r="M45" s="2"/>
      <c r="N45" s="51">
        <v>4.68</v>
      </c>
      <c r="O45" s="51">
        <v>31.29</v>
      </c>
      <c r="P45" s="51">
        <v>20.55</v>
      </c>
      <c r="Q45" s="51">
        <v>20.34</v>
      </c>
      <c r="R45" s="51">
        <v>33.229999999999997</v>
      </c>
      <c r="S45" s="51">
        <v>29.95</v>
      </c>
      <c r="T45" s="51">
        <v>33.93</v>
      </c>
      <c r="U45" s="51">
        <v>33.130000000000003</v>
      </c>
      <c r="V45" s="51">
        <v>23.79</v>
      </c>
      <c r="W45" s="50" t="s">
        <v>5</v>
      </c>
      <c r="X45" s="50" t="s">
        <v>5</v>
      </c>
      <c r="Y45" s="50" t="s">
        <v>5</v>
      </c>
      <c r="Z45" s="50" t="s">
        <v>5</v>
      </c>
      <c r="AA45" s="50" t="s">
        <v>5</v>
      </c>
      <c r="AB45" s="50" t="s">
        <v>5</v>
      </c>
      <c r="AC45" s="50" t="s">
        <v>5</v>
      </c>
      <c r="AD45" s="2"/>
      <c r="AE45" s="51">
        <v>1.7000000000000001E-2</v>
      </c>
      <c r="AF45" s="50" t="s">
        <v>5</v>
      </c>
      <c r="AG45" s="2"/>
      <c r="AH45" s="50" t="s">
        <v>5</v>
      </c>
      <c r="AI45" s="50" t="s">
        <v>5</v>
      </c>
      <c r="AJ45" s="50" t="s">
        <v>5</v>
      </c>
      <c r="AK45" s="50" t="s">
        <v>5</v>
      </c>
      <c r="AL45" s="50" t="s">
        <v>5</v>
      </c>
      <c r="AM45" s="50" t="s">
        <v>5</v>
      </c>
      <c r="AN45" s="2"/>
      <c r="AO45" s="51">
        <v>0.25</v>
      </c>
      <c r="AP45" s="51">
        <v>0.17</v>
      </c>
      <c r="AQ45" s="51">
        <v>0.09</v>
      </c>
      <c r="AR45" s="50" t="s">
        <v>5</v>
      </c>
      <c r="AS45" s="50" t="s">
        <v>5</v>
      </c>
      <c r="AT45" s="51">
        <v>12.35</v>
      </c>
      <c r="AU45" s="51">
        <v>12.92</v>
      </c>
      <c r="AV45" s="51">
        <v>9.61</v>
      </c>
      <c r="AW45" s="50" t="s">
        <v>5</v>
      </c>
      <c r="AX45" s="50" t="s">
        <v>5</v>
      </c>
      <c r="AY45" s="51">
        <v>31.29</v>
      </c>
      <c r="AZ45" s="51">
        <v>20.55</v>
      </c>
      <c r="BA45" s="51">
        <v>20.34</v>
      </c>
      <c r="BB45" s="50" t="s">
        <v>5</v>
      </c>
      <c r="BC45" s="50" t="s">
        <v>5</v>
      </c>
      <c r="BD45" s="56"/>
      <c r="BE45" s="56"/>
      <c r="BF45" s="50" t="s">
        <v>5</v>
      </c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</row>
    <row r="46" spans="1:137">
      <c r="A46" s="3">
        <v>2052</v>
      </c>
      <c r="B46" s="51">
        <v>0.08</v>
      </c>
      <c r="C46" s="51">
        <v>0.06</v>
      </c>
      <c r="D46" s="51">
        <v>0.08</v>
      </c>
      <c r="E46" s="51">
        <v>0.06</v>
      </c>
      <c r="F46" s="51">
        <v>0.05</v>
      </c>
      <c r="G46" s="52" t="s">
        <v>5</v>
      </c>
      <c r="H46" s="51">
        <v>81.709999999999994</v>
      </c>
      <c r="I46" s="50">
        <v>0</v>
      </c>
      <c r="J46" s="51">
        <v>17.100000000000001</v>
      </c>
      <c r="K46" s="50">
        <v>0</v>
      </c>
      <c r="L46" s="2"/>
      <c r="M46" s="2"/>
      <c r="N46" s="51">
        <v>4.68</v>
      </c>
      <c r="O46" s="51">
        <v>31.29</v>
      </c>
      <c r="P46" s="51">
        <v>20.55</v>
      </c>
      <c r="Q46" s="51">
        <v>20.34</v>
      </c>
      <c r="R46" s="51">
        <v>33.229999999999997</v>
      </c>
      <c r="S46" s="51">
        <v>29.95</v>
      </c>
      <c r="T46" s="51">
        <v>33.93</v>
      </c>
      <c r="U46" s="51">
        <v>33.130000000000003</v>
      </c>
      <c r="V46" s="51">
        <v>23.79</v>
      </c>
      <c r="W46" s="50" t="s">
        <v>5</v>
      </c>
      <c r="X46" s="50" t="s">
        <v>5</v>
      </c>
      <c r="Y46" s="50" t="s">
        <v>5</v>
      </c>
      <c r="Z46" s="50" t="s">
        <v>5</v>
      </c>
      <c r="AA46" s="50" t="s">
        <v>5</v>
      </c>
      <c r="AB46" s="50" t="s">
        <v>5</v>
      </c>
      <c r="AC46" s="50" t="s">
        <v>5</v>
      </c>
      <c r="AD46" s="2"/>
      <c r="AE46" s="51">
        <v>1.7000000000000001E-2</v>
      </c>
      <c r="AF46" s="50" t="s">
        <v>5</v>
      </c>
      <c r="AG46" s="2"/>
      <c r="AH46" s="50" t="s">
        <v>5</v>
      </c>
      <c r="AI46" s="50" t="s">
        <v>5</v>
      </c>
      <c r="AJ46" s="50" t="s">
        <v>5</v>
      </c>
      <c r="AK46" s="50" t="s">
        <v>5</v>
      </c>
      <c r="AL46" s="50" t="s">
        <v>5</v>
      </c>
      <c r="AM46" s="50" t="s">
        <v>5</v>
      </c>
      <c r="AN46" s="2"/>
      <c r="AO46" s="51">
        <v>0.25</v>
      </c>
      <c r="AP46" s="51">
        <v>0.17</v>
      </c>
      <c r="AQ46" s="51">
        <v>0.09</v>
      </c>
      <c r="AR46" s="50" t="s">
        <v>5</v>
      </c>
      <c r="AS46" s="50" t="s">
        <v>5</v>
      </c>
      <c r="AT46" s="51">
        <v>12.35</v>
      </c>
      <c r="AU46" s="51">
        <v>12.92</v>
      </c>
      <c r="AV46" s="51">
        <v>9.61</v>
      </c>
      <c r="AW46" s="50" t="s">
        <v>5</v>
      </c>
      <c r="AX46" s="50" t="s">
        <v>5</v>
      </c>
      <c r="AY46" s="51">
        <v>31.29</v>
      </c>
      <c r="AZ46" s="51">
        <v>20.55</v>
      </c>
      <c r="BA46" s="51">
        <v>20.34</v>
      </c>
      <c r="BB46" s="50" t="s">
        <v>5</v>
      </c>
      <c r="BC46" s="50" t="s">
        <v>5</v>
      </c>
      <c r="BD46" s="56"/>
      <c r="BE46" s="56"/>
      <c r="BF46" s="50" t="s">
        <v>5</v>
      </c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</row>
    <row r="47" spans="1:137">
      <c r="A47" s="3">
        <v>2053</v>
      </c>
      <c r="B47" s="51">
        <v>0.08</v>
      </c>
      <c r="C47" s="51">
        <v>0.06</v>
      </c>
      <c r="D47" s="51">
        <v>0.08</v>
      </c>
      <c r="E47" s="51">
        <v>0.06</v>
      </c>
      <c r="F47" s="51">
        <v>0.05</v>
      </c>
      <c r="G47" s="52" t="s">
        <v>5</v>
      </c>
      <c r="H47" s="51">
        <v>81.709999999999994</v>
      </c>
      <c r="I47" s="50">
        <v>0</v>
      </c>
      <c r="J47" s="51">
        <v>17.100000000000001</v>
      </c>
      <c r="K47" s="50">
        <v>0</v>
      </c>
      <c r="L47" s="2"/>
      <c r="M47" s="2"/>
      <c r="N47" s="51">
        <v>4.68</v>
      </c>
      <c r="O47" s="51">
        <v>31.29</v>
      </c>
      <c r="P47" s="51">
        <v>20.55</v>
      </c>
      <c r="Q47" s="51">
        <v>20.34</v>
      </c>
      <c r="R47" s="51">
        <v>33.229999999999997</v>
      </c>
      <c r="S47" s="51">
        <v>29.95</v>
      </c>
      <c r="T47" s="51">
        <v>33.93</v>
      </c>
      <c r="U47" s="51">
        <v>33.130000000000003</v>
      </c>
      <c r="V47" s="51">
        <v>23.79</v>
      </c>
      <c r="W47" s="50" t="s">
        <v>5</v>
      </c>
      <c r="X47" s="50" t="s">
        <v>5</v>
      </c>
      <c r="Y47" s="50" t="s">
        <v>5</v>
      </c>
      <c r="Z47" s="50" t="s">
        <v>5</v>
      </c>
      <c r="AA47" s="50" t="s">
        <v>5</v>
      </c>
      <c r="AB47" s="50" t="s">
        <v>5</v>
      </c>
      <c r="AC47" s="50" t="s">
        <v>5</v>
      </c>
      <c r="AD47" s="2"/>
      <c r="AE47" s="51">
        <v>1.7000000000000001E-2</v>
      </c>
      <c r="AF47" s="50" t="s">
        <v>5</v>
      </c>
      <c r="AG47" s="2"/>
      <c r="AH47" s="50" t="s">
        <v>5</v>
      </c>
      <c r="AI47" s="50" t="s">
        <v>5</v>
      </c>
      <c r="AJ47" s="50" t="s">
        <v>5</v>
      </c>
      <c r="AK47" s="50" t="s">
        <v>5</v>
      </c>
      <c r="AL47" s="50" t="s">
        <v>5</v>
      </c>
      <c r="AM47" s="50" t="s">
        <v>5</v>
      </c>
      <c r="AN47" s="2"/>
      <c r="AO47" s="51">
        <v>0.25</v>
      </c>
      <c r="AP47" s="51">
        <v>0.17</v>
      </c>
      <c r="AQ47" s="51">
        <v>0.09</v>
      </c>
      <c r="AR47" s="50" t="s">
        <v>5</v>
      </c>
      <c r="AS47" s="50" t="s">
        <v>5</v>
      </c>
      <c r="AT47" s="51">
        <v>12.35</v>
      </c>
      <c r="AU47" s="51">
        <v>12.92</v>
      </c>
      <c r="AV47" s="51">
        <v>9.61</v>
      </c>
      <c r="AW47" s="50" t="s">
        <v>5</v>
      </c>
      <c r="AX47" s="50" t="s">
        <v>5</v>
      </c>
      <c r="AY47" s="51">
        <v>31.29</v>
      </c>
      <c r="AZ47" s="51">
        <v>20.55</v>
      </c>
      <c r="BA47" s="51">
        <v>20.34</v>
      </c>
      <c r="BB47" s="50" t="s">
        <v>5</v>
      </c>
      <c r="BC47" s="50" t="s">
        <v>5</v>
      </c>
      <c r="BD47" s="56"/>
      <c r="BE47" s="56"/>
      <c r="BF47" s="50" t="s">
        <v>5</v>
      </c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</row>
    <row r="48" spans="1:137">
      <c r="A48" s="3">
        <v>2054</v>
      </c>
      <c r="B48" s="51">
        <v>0.08</v>
      </c>
      <c r="C48" s="51">
        <v>0.06</v>
      </c>
      <c r="D48" s="51">
        <v>0.08</v>
      </c>
      <c r="E48" s="51">
        <v>0.06</v>
      </c>
      <c r="F48" s="51">
        <v>0.05</v>
      </c>
      <c r="G48" s="52" t="s">
        <v>5</v>
      </c>
      <c r="H48" s="51">
        <v>81.709999999999994</v>
      </c>
      <c r="I48" s="50">
        <v>0</v>
      </c>
      <c r="J48" s="51">
        <v>17.100000000000001</v>
      </c>
      <c r="K48" s="50">
        <v>0</v>
      </c>
      <c r="L48" s="2"/>
      <c r="M48" s="2"/>
      <c r="N48" s="51">
        <v>4.68</v>
      </c>
      <c r="O48" s="51">
        <v>31.29</v>
      </c>
      <c r="P48" s="51">
        <v>20.55</v>
      </c>
      <c r="Q48" s="51">
        <v>20.34</v>
      </c>
      <c r="R48" s="51">
        <v>33.229999999999997</v>
      </c>
      <c r="S48" s="51">
        <v>29.95</v>
      </c>
      <c r="T48" s="51">
        <v>33.93</v>
      </c>
      <c r="U48" s="51">
        <v>33.130000000000003</v>
      </c>
      <c r="V48" s="51">
        <v>23.79</v>
      </c>
      <c r="W48" s="50" t="s">
        <v>5</v>
      </c>
      <c r="X48" s="50" t="s">
        <v>5</v>
      </c>
      <c r="Y48" s="50" t="s">
        <v>5</v>
      </c>
      <c r="Z48" s="50" t="s">
        <v>5</v>
      </c>
      <c r="AA48" s="50" t="s">
        <v>5</v>
      </c>
      <c r="AB48" s="50" t="s">
        <v>5</v>
      </c>
      <c r="AC48" s="50" t="s">
        <v>5</v>
      </c>
      <c r="AD48" s="2"/>
      <c r="AE48" s="51">
        <v>1.7000000000000001E-2</v>
      </c>
      <c r="AF48" s="50" t="s">
        <v>5</v>
      </c>
      <c r="AG48" s="2"/>
      <c r="AH48" s="50" t="s">
        <v>5</v>
      </c>
      <c r="AI48" s="50" t="s">
        <v>5</v>
      </c>
      <c r="AJ48" s="50" t="s">
        <v>5</v>
      </c>
      <c r="AK48" s="50" t="s">
        <v>5</v>
      </c>
      <c r="AL48" s="50" t="s">
        <v>5</v>
      </c>
      <c r="AM48" s="50" t="s">
        <v>5</v>
      </c>
      <c r="AN48" s="2"/>
      <c r="AO48" s="51">
        <v>0.25</v>
      </c>
      <c r="AP48" s="51">
        <v>0.17</v>
      </c>
      <c r="AQ48" s="51">
        <v>0.09</v>
      </c>
      <c r="AR48" s="50" t="s">
        <v>5</v>
      </c>
      <c r="AS48" s="50" t="s">
        <v>5</v>
      </c>
      <c r="AT48" s="51">
        <v>12.35</v>
      </c>
      <c r="AU48" s="51">
        <v>12.92</v>
      </c>
      <c r="AV48" s="51">
        <v>9.61</v>
      </c>
      <c r="AW48" s="50" t="s">
        <v>5</v>
      </c>
      <c r="AX48" s="50" t="s">
        <v>5</v>
      </c>
      <c r="AY48" s="51">
        <v>31.29</v>
      </c>
      <c r="AZ48" s="51">
        <v>20.55</v>
      </c>
      <c r="BA48" s="51">
        <v>20.34</v>
      </c>
      <c r="BB48" s="50" t="s">
        <v>5</v>
      </c>
      <c r="BC48" s="50" t="s">
        <v>5</v>
      </c>
      <c r="BD48" s="56"/>
      <c r="BE48" s="56"/>
      <c r="BF48" s="50" t="s">
        <v>5</v>
      </c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</row>
    <row r="49" spans="1:137">
      <c r="A49" s="3">
        <v>2055</v>
      </c>
      <c r="B49" s="51">
        <v>0.08</v>
      </c>
      <c r="C49" s="51">
        <v>0.06</v>
      </c>
      <c r="D49" s="51">
        <v>0.08</v>
      </c>
      <c r="E49" s="51">
        <v>0.06</v>
      </c>
      <c r="F49" s="51">
        <v>0.05</v>
      </c>
      <c r="G49" s="52" t="s">
        <v>5</v>
      </c>
      <c r="H49" s="51">
        <v>81.709999999999994</v>
      </c>
      <c r="I49" s="50">
        <v>0</v>
      </c>
      <c r="J49" s="51">
        <v>17.100000000000001</v>
      </c>
      <c r="K49" s="50">
        <v>0</v>
      </c>
      <c r="L49" s="2"/>
      <c r="M49" s="2"/>
      <c r="N49" s="51">
        <v>4.68</v>
      </c>
      <c r="O49" s="51">
        <v>31.29</v>
      </c>
      <c r="P49" s="51">
        <v>20.55</v>
      </c>
      <c r="Q49" s="51">
        <v>20.34</v>
      </c>
      <c r="R49" s="51">
        <v>33.229999999999997</v>
      </c>
      <c r="S49" s="51">
        <v>29.95</v>
      </c>
      <c r="T49" s="51">
        <v>33.93</v>
      </c>
      <c r="U49" s="51">
        <v>33.130000000000003</v>
      </c>
      <c r="V49" s="51">
        <v>23.79</v>
      </c>
      <c r="W49" s="50" t="s">
        <v>5</v>
      </c>
      <c r="X49" s="50" t="s">
        <v>5</v>
      </c>
      <c r="Y49" s="50" t="s">
        <v>5</v>
      </c>
      <c r="Z49" s="50" t="s">
        <v>5</v>
      </c>
      <c r="AA49" s="50" t="s">
        <v>5</v>
      </c>
      <c r="AB49" s="50" t="s">
        <v>5</v>
      </c>
      <c r="AC49" s="50" t="s">
        <v>5</v>
      </c>
      <c r="AD49" s="2"/>
      <c r="AE49" s="51">
        <v>1.7000000000000001E-2</v>
      </c>
      <c r="AF49" s="50" t="s">
        <v>5</v>
      </c>
      <c r="AG49" s="2"/>
      <c r="AH49" s="50" t="s">
        <v>5</v>
      </c>
      <c r="AI49" s="50" t="s">
        <v>5</v>
      </c>
      <c r="AJ49" s="50" t="s">
        <v>5</v>
      </c>
      <c r="AK49" s="50" t="s">
        <v>5</v>
      </c>
      <c r="AL49" s="50" t="s">
        <v>5</v>
      </c>
      <c r="AM49" s="50" t="s">
        <v>5</v>
      </c>
      <c r="AN49" s="2"/>
      <c r="AO49" s="51">
        <v>0.25</v>
      </c>
      <c r="AP49" s="51">
        <v>0.17</v>
      </c>
      <c r="AQ49" s="51">
        <v>0.09</v>
      </c>
      <c r="AR49" s="50" t="s">
        <v>5</v>
      </c>
      <c r="AS49" s="50" t="s">
        <v>5</v>
      </c>
      <c r="AT49" s="51">
        <v>12.35</v>
      </c>
      <c r="AU49" s="51">
        <v>12.92</v>
      </c>
      <c r="AV49" s="51">
        <v>9.61</v>
      </c>
      <c r="AW49" s="50" t="s">
        <v>5</v>
      </c>
      <c r="AX49" s="50" t="s">
        <v>5</v>
      </c>
      <c r="AY49" s="51">
        <v>31.29</v>
      </c>
      <c r="AZ49" s="51">
        <v>20.55</v>
      </c>
      <c r="BA49" s="51">
        <v>20.34</v>
      </c>
      <c r="BB49" s="50" t="s">
        <v>5</v>
      </c>
      <c r="BC49" s="50" t="s">
        <v>5</v>
      </c>
      <c r="BD49" s="56"/>
      <c r="BE49" s="56"/>
      <c r="BF49" s="50" t="s">
        <v>5</v>
      </c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</row>
    <row r="50" spans="1:137">
      <c r="A50" s="3">
        <v>2056</v>
      </c>
      <c r="B50" s="51">
        <v>0.08</v>
      </c>
      <c r="C50" s="51">
        <v>0.06</v>
      </c>
      <c r="D50" s="51">
        <v>0.08</v>
      </c>
      <c r="E50" s="51">
        <v>0.06</v>
      </c>
      <c r="F50" s="51">
        <v>0.05</v>
      </c>
      <c r="G50" s="52" t="s">
        <v>5</v>
      </c>
      <c r="H50" s="51">
        <v>81.709999999999994</v>
      </c>
      <c r="I50" s="50">
        <v>0</v>
      </c>
      <c r="J50" s="51">
        <v>17.100000000000001</v>
      </c>
      <c r="K50" s="50">
        <v>0</v>
      </c>
      <c r="L50" s="2"/>
      <c r="M50" s="2"/>
      <c r="N50" s="51">
        <v>4.68</v>
      </c>
      <c r="O50" s="51">
        <v>31.29</v>
      </c>
      <c r="P50" s="51">
        <v>20.55</v>
      </c>
      <c r="Q50" s="51">
        <v>20.34</v>
      </c>
      <c r="R50" s="51">
        <v>33.229999999999997</v>
      </c>
      <c r="S50" s="51">
        <v>29.95</v>
      </c>
      <c r="T50" s="51">
        <v>33.93</v>
      </c>
      <c r="U50" s="51">
        <v>33.130000000000003</v>
      </c>
      <c r="V50" s="51">
        <v>23.79</v>
      </c>
      <c r="W50" s="50" t="s">
        <v>5</v>
      </c>
      <c r="X50" s="50" t="s">
        <v>5</v>
      </c>
      <c r="Y50" s="50" t="s">
        <v>5</v>
      </c>
      <c r="Z50" s="50" t="s">
        <v>5</v>
      </c>
      <c r="AA50" s="50" t="s">
        <v>5</v>
      </c>
      <c r="AB50" s="50" t="s">
        <v>5</v>
      </c>
      <c r="AC50" s="50" t="s">
        <v>5</v>
      </c>
      <c r="AD50" s="2"/>
      <c r="AE50" s="51">
        <v>1.7000000000000001E-2</v>
      </c>
      <c r="AF50" s="50" t="s">
        <v>5</v>
      </c>
      <c r="AG50" s="2"/>
      <c r="AH50" s="50" t="s">
        <v>5</v>
      </c>
      <c r="AI50" s="50" t="s">
        <v>5</v>
      </c>
      <c r="AJ50" s="50" t="s">
        <v>5</v>
      </c>
      <c r="AK50" s="50" t="s">
        <v>5</v>
      </c>
      <c r="AL50" s="50" t="s">
        <v>5</v>
      </c>
      <c r="AM50" s="50" t="s">
        <v>5</v>
      </c>
      <c r="AN50" s="2"/>
      <c r="AO50" s="51">
        <v>0.25</v>
      </c>
      <c r="AP50" s="51">
        <v>0.17</v>
      </c>
      <c r="AQ50" s="51">
        <v>0.09</v>
      </c>
      <c r="AR50" s="50" t="s">
        <v>5</v>
      </c>
      <c r="AS50" s="50" t="s">
        <v>5</v>
      </c>
      <c r="AT50" s="51">
        <v>12.35</v>
      </c>
      <c r="AU50" s="51">
        <v>12.92</v>
      </c>
      <c r="AV50" s="51">
        <v>9.61</v>
      </c>
      <c r="AW50" s="50" t="s">
        <v>5</v>
      </c>
      <c r="AX50" s="50" t="s">
        <v>5</v>
      </c>
      <c r="AY50" s="51">
        <v>31.29</v>
      </c>
      <c r="AZ50" s="51">
        <v>20.55</v>
      </c>
      <c r="BA50" s="51">
        <v>20.34</v>
      </c>
      <c r="BB50" s="50" t="s">
        <v>5</v>
      </c>
      <c r="BC50" s="50" t="s">
        <v>5</v>
      </c>
      <c r="BD50" s="56"/>
      <c r="BE50" s="56"/>
      <c r="BF50" s="50" t="s">
        <v>5</v>
      </c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</row>
    <row r="51" spans="1:137">
      <c r="A51" s="3">
        <v>2057</v>
      </c>
      <c r="B51" s="51">
        <v>0.08</v>
      </c>
      <c r="C51" s="51">
        <v>0.06</v>
      </c>
      <c r="D51" s="51">
        <v>0.08</v>
      </c>
      <c r="E51" s="51">
        <v>0.06</v>
      </c>
      <c r="F51" s="51">
        <v>0.05</v>
      </c>
      <c r="G51" s="52" t="s">
        <v>5</v>
      </c>
      <c r="H51" s="51">
        <v>81.709999999999994</v>
      </c>
      <c r="I51" s="50">
        <v>0</v>
      </c>
      <c r="J51" s="51">
        <v>17.100000000000001</v>
      </c>
      <c r="K51" s="50">
        <v>0</v>
      </c>
      <c r="L51" s="2"/>
      <c r="M51" s="2"/>
      <c r="N51" s="51">
        <v>4.68</v>
      </c>
      <c r="O51" s="51">
        <v>31.29</v>
      </c>
      <c r="P51" s="51">
        <v>20.55</v>
      </c>
      <c r="Q51" s="51">
        <v>20.34</v>
      </c>
      <c r="R51" s="51">
        <v>33.229999999999997</v>
      </c>
      <c r="S51" s="51">
        <v>29.95</v>
      </c>
      <c r="T51" s="51">
        <v>33.93</v>
      </c>
      <c r="U51" s="51">
        <v>33.130000000000003</v>
      </c>
      <c r="V51" s="51">
        <v>23.79</v>
      </c>
      <c r="W51" s="50" t="s">
        <v>5</v>
      </c>
      <c r="X51" s="50" t="s">
        <v>5</v>
      </c>
      <c r="Y51" s="50" t="s">
        <v>5</v>
      </c>
      <c r="Z51" s="50" t="s">
        <v>5</v>
      </c>
      <c r="AA51" s="50" t="s">
        <v>5</v>
      </c>
      <c r="AB51" s="50" t="s">
        <v>5</v>
      </c>
      <c r="AC51" s="50" t="s">
        <v>5</v>
      </c>
      <c r="AD51" s="2"/>
      <c r="AE51" s="51">
        <v>1.7000000000000001E-2</v>
      </c>
      <c r="AF51" s="50" t="s">
        <v>5</v>
      </c>
      <c r="AG51" s="2"/>
      <c r="AH51" s="50" t="s">
        <v>5</v>
      </c>
      <c r="AI51" s="50" t="s">
        <v>5</v>
      </c>
      <c r="AJ51" s="50" t="s">
        <v>5</v>
      </c>
      <c r="AK51" s="50" t="s">
        <v>5</v>
      </c>
      <c r="AL51" s="50" t="s">
        <v>5</v>
      </c>
      <c r="AM51" s="50" t="s">
        <v>5</v>
      </c>
      <c r="AN51" s="2"/>
      <c r="AO51" s="51">
        <v>0.25</v>
      </c>
      <c r="AP51" s="51">
        <v>0.17</v>
      </c>
      <c r="AQ51" s="51">
        <v>0.09</v>
      </c>
      <c r="AR51" s="50" t="s">
        <v>5</v>
      </c>
      <c r="AS51" s="50" t="s">
        <v>5</v>
      </c>
      <c r="AT51" s="51">
        <v>12.35</v>
      </c>
      <c r="AU51" s="51">
        <v>12.92</v>
      </c>
      <c r="AV51" s="51">
        <v>9.61</v>
      </c>
      <c r="AW51" s="50" t="s">
        <v>5</v>
      </c>
      <c r="AX51" s="50" t="s">
        <v>5</v>
      </c>
      <c r="AY51" s="51">
        <v>31.29</v>
      </c>
      <c r="AZ51" s="51">
        <v>20.55</v>
      </c>
      <c r="BA51" s="51">
        <v>20.34</v>
      </c>
      <c r="BB51" s="50" t="s">
        <v>5</v>
      </c>
      <c r="BC51" s="50" t="s">
        <v>5</v>
      </c>
      <c r="BD51" s="56"/>
      <c r="BE51" s="56"/>
      <c r="BF51" s="50" t="s">
        <v>5</v>
      </c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</row>
    <row r="52" spans="1:137">
      <c r="A52" s="3">
        <v>2058</v>
      </c>
      <c r="B52" s="51">
        <v>0.08</v>
      </c>
      <c r="C52" s="51">
        <v>0.06</v>
      </c>
      <c r="D52" s="51">
        <v>0.08</v>
      </c>
      <c r="E52" s="51">
        <v>0.06</v>
      </c>
      <c r="F52" s="51">
        <v>0.05</v>
      </c>
      <c r="G52" s="52" t="s">
        <v>5</v>
      </c>
      <c r="H52" s="51">
        <v>81.709999999999994</v>
      </c>
      <c r="I52" s="50">
        <v>0</v>
      </c>
      <c r="J52" s="51">
        <v>17.100000000000001</v>
      </c>
      <c r="K52" s="50">
        <v>0</v>
      </c>
      <c r="L52" s="2"/>
      <c r="M52" s="2"/>
      <c r="N52" s="51">
        <v>4.68</v>
      </c>
      <c r="O52" s="51">
        <v>31.29</v>
      </c>
      <c r="P52" s="51">
        <v>20.55</v>
      </c>
      <c r="Q52" s="51">
        <v>20.34</v>
      </c>
      <c r="R52" s="51">
        <v>33.229999999999997</v>
      </c>
      <c r="S52" s="51">
        <v>29.95</v>
      </c>
      <c r="T52" s="51">
        <v>33.93</v>
      </c>
      <c r="U52" s="51">
        <v>33.130000000000003</v>
      </c>
      <c r="V52" s="51">
        <v>23.79</v>
      </c>
      <c r="W52" s="50" t="s">
        <v>5</v>
      </c>
      <c r="X52" s="50" t="s">
        <v>5</v>
      </c>
      <c r="Y52" s="50" t="s">
        <v>5</v>
      </c>
      <c r="Z52" s="50" t="s">
        <v>5</v>
      </c>
      <c r="AA52" s="50" t="s">
        <v>5</v>
      </c>
      <c r="AB52" s="50" t="s">
        <v>5</v>
      </c>
      <c r="AC52" s="50" t="s">
        <v>5</v>
      </c>
      <c r="AD52" s="2"/>
      <c r="AE52" s="51">
        <v>1.7000000000000001E-2</v>
      </c>
      <c r="AF52" s="50" t="s">
        <v>5</v>
      </c>
      <c r="AG52" s="2"/>
      <c r="AH52" s="50" t="s">
        <v>5</v>
      </c>
      <c r="AI52" s="50" t="s">
        <v>5</v>
      </c>
      <c r="AJ52" s="50" t="s">
        <v>5</v>
      </c>
      <c r="AK52" s="50" t="s">
        <v>5</v>
      </c>
      <c r="AL52" s="50" t="s">
        <v>5</v>
      </c>
      <c r="AM52" s="50" t="s">
        <v>5</v>
      </c>
      <c r="AN52" s="2"/>
      <c r="AO52" s="51">
        <v>0.25</v>
      </c>
      <c r="AP52" s="51">
        <v>0.17</v>
      </c>
      <c r="AQ52" s="51">
        <v>0.09</v>
      </c>
      <c r="AR52" s="50" t="s">
        <v>5</v>
      </c>
      <c r="AS52" s="50" t="s">
        <v>5</v>
      </c>
      <c r="AT52" s="51">
        <v>12.35</v>
      </c>
      <c r="AU52" s="51">
        <v>12.92</v>
      </c>
      <c r="AV52" s="51">
        <v>9.61</v>
      </c>
      <c r="AW52" s="50" t="s">
        <v>5</v>
      </c>
      <c r="AX52" s="50" t="s">
        <v>5</v>
      </c>
      <c r="AY52" s="51">
        <v>31.29</v>
      </c>
      <c r="AZ52" s="51">
        <v>20.55</v>
      </c>
      <c r="BA52" s="51">
        <v>20.34</v>
      </c>
      <c r="BB52" s="50" t="s">
        <v>5</v>
      </c>
      <c r="BC52" s="50" t="s">
        <v>5</v>
      </c>
      <c r="BD52" s="56"/>
      <c r="BE52" s="56"/>
      <c r="BF52" s="50" t="s">
        <v>5</v>
      </c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</row>
    <row r="53" spans="1:137">
      <c r="A53" s="3">
        <v>2059</v>
      </c>
      <c r="B53" s="51">
        <v>0.08</v>
      </c>
      <c r="C53" s="51">
        <v>0.06</v>
      </c>
      <c r="D53" s="51">
        <v>0.08</v>
      </c>
      <c r="E53" s="51">
        <v>0.06</v>
      </c>
      <c r="F53" s="51">
        <v>0.05</v>
      </c>
      <c r="G53" s="52" t="s">
        <v>5</v>
      </c>
      <c r="H53" s="51">
        <v>81.709999999999994</v>
      </c>
      <c r="I53" s="50">
        <v>0</v>
      </c>
      <c r="J53" s="51">
        <v>17.100000000000001</v>
      </c>
      <c r="K53" s="50">
        <v>0</v>
      </c>
      <c r="L53" s="2"/>
      <c r="M53" s="2"/>
      <c r="N53" s="51">
        <v>4.68</v>
      </c>
      <c r="O53" s="51">
        <v>31.29</v>
      </c>
      <c r="P53" s="51">
        <v>20.55</v>
      </c>
      <c r="Q53" s="51">
        <v>20.34</v>
      </c>
      <c r="R53" s="51">
        <v>33.229999999999997</v>
      </c>
      <c r="S53" s="51">
        <v>29.95</v>
      </c>
      <c r="T53" s="51">
        <v>33.93</v>
      </c>
      <c r="U53" s="51">
        <v>33.130000000000003</v>
      </c>
      <c r="V53" s="51">
        <v>23.79</v>
      </c>
      <c r="W53" s="50" t="s">
        <v>5</v>
      </c>
      <c r="X53" s="50" t="s">
        <v>5</v>
      </c>
      <c r="Y53" s="50" t="s">
        <v>5</v>
      </c>
      <c r="Z53" s="50" t="s">
        <v>5</v>
      </c>
      <c r="AA53" s="50" t="s">
        <v>5</v>
      </c>
      <c r="AB53" s="50" t="s">
        <v>5</v>
      </c>
      <c r="AC53" s="50" t="s">
        <v>5</v>
      </c>
      <c r="AD53" s="2"/>
      <c r="AE53" s="51">
        <v>1.7000000000000001E-2</v>
      </c>
      <c r="AF53" s="50" t="s">
        <v>5</v>
      </c>
      <c r="AG53" s="2"/>
      <c r="AH53" s="50" t="s">
        <v>5</v>
      </c>
      <c r="AI53" s="50" t="s">
        <v>5</v>
      </c>
      <c r="AJ53" s="50" t="s">
        <v>5</v>
      </c>
      <c r="AK53" s="50" t="s">
        <v>5</v>
      </c>
      <c r="AL53" s="50" t="s">
        <v>5</v>
      </c>
      <c r="AM53" s="50" t="s">
        <v>5</v>
      </c>
      <c r="AN53" s="2"/>
      <c r="AO53" s="51">
        <v>0.25</v>
      </c>
      <c r="AP53" s="51">
        <v>0.17</v>
      </c>
      <c r="AQ53" s="51">
        <v>0.09</v>
      </c>
      <c r="AR53" s="50" t="s">
        <v>5</v>
      </c>
      <c r="AS53" s="50" t="s">
        <v>5</v>
      </c>
      <c r="AT53" s="51">
        <v>12.35</v>
      </c>
      <c r="AU53" s="51">
        <v>12.92</v>
      </c>
      <c r="AV53" s="51">
        <v>9.61</v>
      </c>
      <c r="AW53" s="50" t="s">
        <v>5</v>
      </c>
      <c r="AX53" s="50" t="s">
        <v>5</v>
      </c>
      <c r="AY53" s="51">
        <v>31.29</v>
      </c>
      <c r="AZ53" s="51">
        <v>20.55</v>
      </c>
      <c r="BA53" s="51">
        <v>20.34</v>
      </c>
      <c r="BB53" s="50" t="s">
        <v>5</v>
      </c>
      <c r="BC53" s="50" t="s">
        <v>5</v>
      </c>
      <c r="BD53" s="56"/>
      <c r="BE53" s="56"/>
      <c r="BF53" s="50" t="s">
        <v>5</v>
      </c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</row>
    <row r="54" spans="1:137">
      <c r="A54" s="3">
        <v>2060</v>
      </c>
      <c r="B54" s="51">
        <v>0.08</v>
      </c>
      <c r="C54" s="51">
        <v>0.06</v>
      </c>
      <c r="D54" s="51">
        <v>0.08</v>
      </c>
      <c r="E54" s="51">
        <v>0.06</v>
      </c>
      <c r="F54" s="51">
        <v>0.05</v>
      </c>
      <c r="G54" s="52" t="s">
        <v>5</v>
      </c>
      <c r="H54" s="51">
        <v>81.709999999999994</v>
      </c>
      <c r="I54" s="50">
        <v>0</v>
      </c>
      <c r="J54" s="51">
        <v>17.100000000000001</v>
      </c>
      <c r="K54" s="50">
        <v>0</v>
      </c>
      <c r="L54" s="2"/>
      <c r="M54" s="2"/>
      <c r="N54" s="51">
        <v>4.68</v>
      </c>
      <c r="O54" s="51">
        <v>31.29</v>
      </c>
      <c r="P54" s="51">
        <v>20.55</v>
      </c>
      <c r="Q54" s="51">
        <v>20.34</v>
      </c>
      <c r="R54" s="51">
        <v>33.229999999999997</v>
      </c>
      <c r="S54" s="51">
        <v>29.95</v>
      </c>
      <c r="T54" s="51">
        <v>33.93</v>
      </c>
      <c r="U54" s="51">
        <v>33.130000000000003</v>
      </c>
      <c r="V54" s="51">
        <v>23.79</v>
      </c>
      <c r="W54" s="50" t="s">
        <v>5</v>
      </c>
      <c r="X54" s="50" t="s">
        <v>5</v>
      </c>
      <c r="Y54" s="50" t="s">
        <v>5</v>
      </c>
      <c r="Z54" s="50" t="s">
        <v>5</v>
      </c>
      <c r="AA54" s="50" t="s">
        <v>5</v>
      </c>
      <c r="AB54" s="50" t="s">
        <v>5</v>
      </c>
      <c r="AC54" s="50" t="s">
        <v>5</v>
      </c>
      <c r="AD54" s="2"/>
      <c r="AE54" s="51">
        <v>1.7000000000000001E-2</v>
      </c>
      <c r="AF54" s="50" t="s">
        <v>5</v>
      </c>
      <c r="AG54" s="2"/>
      <c r="AH54" s="50" t="s">
        <v>5</v>
      </c>
      <c r="AI54" s="50" t="s">
        <v>5</v>
      </c>
      <c r="AJ54" s="50" t="s">
        <v>5</v>
      </c>
      <c r="AK54" s="50" t="s">
        <v>5</v>
      </c>
      <c r="AL54" s="50" t="s">
        <v>5</v>
      </c>
      <c r="AM54" s="50" t="s">
        <v>5</v>
      </c>
      <c r="AN54" s="2"/>
      <c r="AO54" s="51">
        <v>0.25</v>
      </c>
      <c r="AP54" s="51">
        <v>0.17</v>
      </c>
      <c r="AQ54" s="51">
        <v>0.09</v>
      </c>
      <c r="AR54" s="50" t="s">
        <v>5</v>
      </c>
      <c r="AS54" s="50" t="s">
        <v>5</v>
      </c>
      <c r="AT54" s="51">
        <v>12.35</v>
      </c>
      <c r="AU54" s="51">
        <v>12.92</v>
      </c>
      <c r="AV54" s="51">
        <v>9.61</v>
      </c>
      <c r="AW54" s="50" t="s">
        <v>5</v>
      </c>
      <c r="AX54" s="50" t="s">
        <v>5</v>
      </c>
      <c r="AY54" s="51">
        <v>31.29</v>
      </c>
      <c r="AZ54" s="51">
        <v>20.55</v>
      </c>
      <c r="BA54" s="51">
        <v>20.34</v>
      </c>
      <c r="BB54" s="50" t="s">
        <v>5</v>
      </c>
      <c r="BC54" s="50" t="s">
        <v>5</v>
      </c>
      <c r="BD54" s="56"/>
      <c r="BE54" s="56"/>
      <c r="BF54" s="50" t="s">
        <v>5</v>
      </c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</row>
    <row r="55" spans="1:137">
      <c r="A55" s="3">
        <v>2061</v>
      </c>
      <c r="B55" s="51">
        <v>0.08</v>
      </c>
      <c r="C55" s="51">
        <v>0.06</v>
      </c>
      <c r="D55" s="51">
        <v>0.08</v>
      </c>
      <c r="E55" s="51">
        <v>0.06</v>
      </c>
      <c r="F55" s="51">
        <v>0.05</v>
      </c>
      <c r="G55" s="52" t="s">
        <v>5</v>
      </c>
      <c r="H55" s="51">
        <v>81.709999999999994</v>
      </c>
      <c r="I55" s="50">
        <v>0</v>
      </c>
      <c r="J55" s="51">
        <v>17.100000000000001</v>
      </c>
      <c r="K55" s="50">
        <v>0</v>
      </c>
      <c r="L55" s="2"/>
      <c r="M55" s="2"/>
      <c r="N55" s="51">
        <v>4.68</v>
      </c>
      <c r="O55" s="51">
        <v>31.29</v>
      </c>
      <c r="P55" s="51">
        <v>20.55</v>
      </c>
      <c r="Q55" s="51">
        <v>20.34</v>
      </c>
      <c r="R55" s="51">
        <v>33.229999999999997</v>
      </c>
      <c r="S55" s="51">
        <v>29.95</v>
      </c>
      <c r="T55" s="51">
        <v>33.93</v>
      </c>
      <c r="U55" s="51">
        <v>33.130000000000003</v>
      </c>
      <c r="V55" s="51">
        <v>23.79</v>
      </c>
      <c r="W55" s="50" t="s">
        <v>5</v>
      </c>
      <c r="X55" s="50" t="s">
        <v>5</v>
      </c>
      <c r="Y55" s="50" t="s">
        <v>5</v>
      </c>
      <c r="Z55" s="50" t="s">
        <v>5</v>
      </c>
      <c r="AA55" s="50" t="s">
        <v>5</v>
      </c>
      <c r="AB55" s="50" t="s">
        <v>5</v>
      </c>
      <c r="AC55" s="50" t="s">
        <v>5</v>
      </c>
      <c r="AD55" s="2"/>
      <c r="AE55" s="51">
        <v>1.7000000000000001E-2</v>
      </c>
      <c r="AF55" s="50" t="s">
        <v>5</v>
      </c>
      <c r="AG55" s="2"/>
      <c r="AH55" s="50" t="s">
        <v>5</v>
      </c>
      <c r="AI55" s="50" t="s">
        <v>5</v>
      </c>
      <c r="AJ55" s="50" t="s">
        <v>5</v>
      </c>
      <c r="AK55" s="50" t="s">
        <v>5</v>
      </c>
      <c r="AL55" s="50" t="s">
        <v>5</v>
      </c>
      <c r="AM55" s="50" t="s">
        <v>5</v>
      </c>
      <c r="AN55" s="2"/>
      <c r="AO55" s="51">
        <v>0.25</v>
      </c>
      <c r="AP55" s="51">
        <v>0.17</v>
      </c>
      <c r="AQ55" s="51">
        <v>0.09</v>
      </c>
      <c r="AR55" s="50" t="s">
        <v>5</v>
      </c>
      <c r="AS55" s="50" t="s">
        <v>5</v>
      </c>
      <c r="AT55" s="51">
        <v>12.35</v>
      </c>
      <c r="AU55" s="51">
        <v>12.92</v>
      </c>
      <c r="AV55" s="51">
        <v>9.61</v>
      </c>
      <c r="AW55" s="50" t="s">
        <v>5</v>
      </c>
      <c r="AX55" s="50" t="s">
        <v>5</v>
      </c>
      <c r="AY55" s="51">
        <v>31.29</v>
      </c>
      <c r="AZ55" s="51">
        <v>20.55</v>
      </c>
      <c r="BA55" s="51">
        <v>20.34</v>
      </c>
      <c r="BB55" s="50" t="s">
        <v>5</v>
      </c>
      <c r="BC55" s="50" t="s">
        <v>5</v>
      </c>
      <c r="BD55" s="56"/>
      <c r="BE55" s="56"/>
      <c r="BF55" s="50" t="s">
        <v>5</v>
      </c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</row>
    <row r="56" spans="1:137">
      <c r="A56" s="3">
        <v>2062</v>
      </c>
      <c r="B56" s="51">
        <v>0.08</v>
      </c>
      <c r="C56" s="51">
        <v>0.06</v>
      </c>
      <c r="D56" s="51">
        <v>0.08</v>
      </c>
      <c r="E56" s="51">
        <v>0.06</v>
      </c>
      <c r="F56" s="51">
        <v>0.05</v>
      </c>
      <c r="G56" s="52" t="s">
        <v>5</v>
      </c>
      <c r="H56" s="51">
        <v>81.709999999999994</v>
      </c>
      <c r="I56" s="50">
        <v>0</v>
      </c>
      <c r="J56" s="51">
        <v>17.100000000000001</v>
      </c>
      <c r="K56" s="50">
        <v>0</v>
      </c>
      <c r="L56" s="2"/>
      <c r="M56" s="2"/>
      <c r="N56" s="51">
        <v>4.68</v>
      </c>
      <c r="O56" s="51">
        <v>31.29</v>
      </c>
      <c r="P56" s="51">
        <v>20.55</v>
      </c>
      <c r="Q56" s="51">
        <v>20.34</v>
      </c>
      <c r="R56" s="51">
        <v>33.229999999999997</v>
      </c>
      <c r="S56" s="51">
        <v>29.95</v>
      </c>
      <c r="T56" s="51">
        <v>33.93</v>
      </c>
      <c r="U56" s="51">
        <v>33.130000000000003</v>
      </c>
      <c r="V56" s="51">
        <v>23.79</v>
      </c>
      <c r="W56" s="50" t="s">
        <v>5</v>
      </c>
      <c r="X56" s="50" t="s">
        <v>5</v>
      </c>
      <c r="Y56" s="50" t="s">
        <v>5</v>
      </c>
      <c r="Z56" s="50" t="s">
        <v>5</v>
      </c>
      <c r="AA56" s="50" t="s">
        <v>5</v>
      </c>
      <c r="AB56" s="50" t="s">
        <v>5</v>
      </c>
      <c r="AC56" s="50" t="s">
        <v>5</v>
      </c>
      <c r="AD56" s="2"/>
      <c r="AE56" s="51">
        <v>1.7000000000000001E-2</v>
      </c>
      <c r="AF56" s="50" t="s">
        <v>5</v>
      </c>
      <c r="AG56" s="2"/>
      <c r="AH56" s="50" t="s">
        <v>5</v>
      </c>
      <c r="AI56" s="50" t="s">
        <v>5</v>
      </c>
      <c r="AJ56" s="50" t="s">
        <v>5</v>
      </c>
      <c r="AK56" s="50" t="s">
        <v>5</v>
      </c>
      <c r="AL56" s="50" t="s">
        <v>5</v>
      </c>
      <c r="AM56" s="50" t="s">
        <v>5</v>
      </c>
      <c r="AN56" s="2"/>
      <c r="AO56" s="51">
        <v>0.25</v>
      </c>
      <c r="AP56" s="51">
        <v>0.17</v>
      </c>
      <c r="AQ56" s="51">
        <v>0.09</v>
      </c>
      <c r="AR56" s="50" t="s">
        <v>5</v>
      </c>
      <c r="AS56" s="50" t="s">
        <v>5</v>
      </c>
      <c r="AT56" s="51">
        <v>12.35</v>
      </c>
      <c r="AU56" s="51">
        <v>12.92</v>
      </c>
      <c r="AV56" s="51">
        <v>9.61</v>
      </c>
      <c r="AW56" s="50" t="s">
        <v>5</v>
      </c>
      <c r="AX56" s="50" t="s">
        <v>5</v>
      </c>
      <c r="AY56" s="51">
        <v>31.29</v>
      </c>
      <c r="AZ56" s="51">
        <v>20.55</v>
      </c>
      <c r="BA56" s="51">
        <v>20.34</v>
      </c>
      <c r="BB56" s="50" t="s">
        <v>5</v>
      </c>
      <c r="BC56" s="50" t="s">
        <v>5</v>
      </c>
      <c r="BD56" s="56"/>
      <c r="BE56" s="56"/>
      <c r="BF56" s="50" t="s">
        <v>5</v>
      </c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</row>
    <row r="57" spans="1:137">
      <c r="A57" s="3">
        <v>2063</v>
      </c>
      <c r="B57" s="51">
        <v>0.08</v>
      </c>
      <c r="C57" s="51">
        <v>0.06</v>
      </c>
      <c r="D57" s="51">
        <v>0.08</v>
      </c>
      <c r="E57" s="51">
        <v>0.06</v>
      </c>
      <c r="F57" s="51">
        <v>0.05</v>
      </c>
      <c r="G57" s="52" t="s">
        <v>5</v>
      </c>
      <c r="H57" s="51">
        <v>81.709999999999994</v>
      </c>
      <c r="I57" s="50">
        <v>0</v>
      </c>
      <c r="J57" s="51">
        <v>17.100000000000001</v>
      </c>
      <c r="K57" s="50">
        <v>0</v>
      </c>
      <c r="L57" s="2"/>
      <c r="M57" s="2"/>
      <c r="N57" s="51">
        <v>4.68</v>
      </c>
      <c r="O57" s="51">
        <v>31.29</v>
      </c>
      <c r="P57" s="51">
        <v>20.55</v>
      </c>
      <c r="Q57" s="51">
        <v>20.34</v>
      </c>
      <c r="R57" s="51">
        <v>33.229999999999997</v>
      </c>
      <c r="S57" s="51">
        <v>29.95</v>
      </c>
      <c r="T57" s="51">
        <v>33.93</v>
      </c>
      <c r="U57" s="51">
        <v>33.130000000000003</v>
      </c>
      <c r="V57" s="51">
        <v>23.79</v>
      </c>
      <c r="W57" s="50" t="s">
        <v>5</v>
      </c>
      <c r="X57" s="50" t="s">
        <v>5</v>
      </c>
      <c r="Y57" s="50" t="s">
        <v>5</v>
      </c>
      <c r="Z57" s="50" t="s">
        <v>5</v>
      </c>
      <c r="AA57" s="50" t="s">
        <v>5</v>
      </c>
      <c r="AB57" s="50" t="s">
        <v>5</v>
      </c>
      <c r="AC57" s="50" t="s">
        <v>5</v>
      </c>
      <c r="AD57" s="2"/>
      <c r="AE57" s="51">
        <v>1.7000000000000001E-2</v>
      </c>
      <c r="AF57" s="50" t="s">
        <v>5</v>
      </c>
      <c r="AG57" s="2"/>
      <c r="AH57" s="50" t="s">
        <v>5</v>
      </c>
      <c r="AI57" s="50" t="s">
        <v>5</v>
      </c>
      <c r="AJ57" s="50" t="s">
        <v>5</v>
      </c>
      <c r="AK57" s="50" t="s">
        <v>5</v>
      </c>
      <c r="AL57" s="50" t="s">
        <v>5</v>
      </c>
      <c r="AM57" s="50" t="s">
        <v>5</v>
      </c>
      <c r="AN57" s="2"/>
      <c r="AO57" s="51">
        <v>0.25</v>
      </c>
      <c r="AP57" s="51">
        <v>0.17</v>
      </c>
      <c r="AQ57" s="51">
        <v>0.09</v>
      </c>
      <c r="AR57" s="50" t="s">
        <v>5</v>
      </c>
      <c r="AS57" s="50" t="s">
        <v>5</v>
      </c>
      <c r="AT57" s="51">
        <v>12.35</v>
      </c>
      <c r="AU57" s="51">
        <v>12.92</v>
      </c>
      <c r="AV57" s="51">
        <v>9.61</v>
      </c>
      <c r="AW57" s="50" t="s">
        <v>5</v>
      </c>
      <c r="AX57" s="50" t="s">
        <v>5</v>
      </c>
      <c r="AY57" s="51">
        <v>31.29</v>
      </c>
      <c r="AZ57" s="51">
        <v>20.55</v>
      </c>
      <c r="BA57" s="51">
        <v>20.34</v>
      </c>
      <c r="BB57" s="50" t="s">
        <v>5</v>
      </c>
      <c r="BC57" s="50" t="s">
        <v>5</v>
      </c>
      <c r="BD57" s="56"/>
      <c r="BE57" s="56"/>
      <c r="BF57" s="50" t="s">
        <v>5</v>
      </c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</row>
    <row r="58" spans="1:137">
      <c r="A58" s="3">
        <v>2064</v>
      </c>
      <c r="B58" s="51">
        <v>0.08</v>
      </c>
      <c r="C58" s="51">
        <v>0.06</v>
      </c>
      <c r="D58" s="51">
        <v>0.08</v>
      </c>
      <c r="E58" s="51">
        <v>0.06</v>
      </c>
      <c r="F58" s="51">
        <v>0.05</v>
      </c>
      <c r="G58" s="52" t="s">
        <v>5</v>
      </c>
      <c r="H58" s="51">
        <v>81.709999999999994</v>
      </c>
      <c r="I58" s="50">
        <v>0</v>
      </c>
      <c r="J58" s="51">
        <v>17.100000000000001</v>
      </c>
      <c r="K58" s="50">
        <v>0</v>
      </c>
      <c r="L58" s="2"/>
      <c r="M58" s="2"/>
      <c r="N58" s="51">
        <v>4.68</v>
      </c>
      <c r="O58" s="51">
        <v>31.29</v>
      </c>
      <c r="P58" s="51">
        <v>20.55</v>
      </c>
      <c r="Q58" s="51">
        <v>20.34</v>
      </c>
      <c r="R58" s="51">
        <v>33.229999999999997</v>
      </c>
      <c r="S58" s="51">
        <v>29.95</v>
      </c>
      <c r="T58" s="51">
        <v>33.93</v>
      </c>
      <c r="U58" s="51">
        <v>33.130000000000003</v>
      </c>
      <c r="V58" s="51">
        <v>23.79</v>
      </c>
      <c r="W58" s="50" t="s">
        <v>5</v>
      </c>
      <c r="X58" s="50" t="s">
        <v>5</v>
      </c>
      <c r="Y58" s="50" t="s">
        <v>5</v>
      </c>
      <c r="Z58" s="50" t="s">
        <v>5</v>
      </c>
      <c r="AA58" s="50" t="s">
        <v>5</v>
      </c>
      <c r="AB58" s="50" t="s">
        <v>5</v>
      </c>
      <c r="AC58" s="50" t="s">
        <v>5</v>
      </c>
      <c r="AD58" s="2"/>
      <c r="AE58" s="51">
        <v>1.7000000000000001E-2</v>
      </c>
      <c r="AF58" s="50" t="s">
        <v>5</v>
      </c>
      <c r="AG58" s="2"/>
      <c r="AH58" s="50" t="s">
        <v>5</v>
      </c>
      <c r="AI58" s="50" t="s">
        <v>5</v>
      </c>
      <c r="AJ58" s="50" t="s">
        <v>5</v>
      </c>
      <c r="AK58" s="50" t="s">
        <v>5</v>
      </c>
      <c r="AL58" s="50" t="s">
        <v>5</v>
      </c>
      <c r="AM58" s="50" t="s">
        <v>5</v>
      </c>
      <c r="AN58" s="2"/>
      <c r="AO58" s="51">
        <v>0.25</v>
      </c>
      <c r="AP58" s="51">
        <v>0.17</v>
      </c>
      <c r="AQ58" s="51">
        <v>0.09</v>
      </c>
      <c r="AR58" s="50" t="s">
        <v>5</v>
      </c>
      <c r="AS58" s="50" t="s">
        <v>5</v>
      </c>
      <c r="AT58" s="51">
        <v>12.35</v>
      </c>
      <c r="AU58" s="51">
        <v>12.92</v>
      </c>
      <c r="AV58" s="51">
        <v>9.61</v>
      </c>
      <c r="AW58" s="50" t="s">
        <v>5</v>
      </c>
      <c r="AX58" s="50" t="s">
        <v>5</v>
      </c>
      <c r="AY58" s="51">
        <v>31.29</v>
      </c>
      <c r="AZ58" s="51">
        <v>20.55</v>
      </c>
      <c r="BA58" s="51">
        <v>20.34</v>
      </c>
      <c r="BB58" s="50" t="s">
        <v>5</v>
      </c>
      <c r="BC58" s="50" t="s">
        <v>5</v>
      </c>
      <c r="BD58" s="56"/>
      <c r="BE58" s="56"/>
      <c r="BF58" s="50" t="s">
        <v>5</v>
      </c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</row>
    <row r="59" spans="1:137">
      <c r="A59" s="3">
        <v>2065</v>
      </c>
      <c r="B59" s="51">
        <v>0.08</v>
      </c>
      <c r="C59" s="51">
        <v>0.06</v>
      </c>
      <c r="D59" s="51">
        <v>0.08</v>
      </c>
      <c r="E59" s="51">
        <v>0.06</v>
      </c>
      <c r="F59" s="51">
        <v>0.05</v>
      </c>
      <c r="G59" s="52" t="s">
        <v>5</v>
      </c>
      <c r="H59" s="51">
        <v>81.709999999999994</v>
      </c>
      <c r="I59" s="50">
        <v>0</v>
      </c>
      <c r="J59" s="51">
        <v>17.100000000000001</v>
      </c>
      <c r="K59" s="50">
        <v>0</v>
      </c>
      <c r="L59" s="2"/>
      <c r="M59" s="2"/>
      <c r="N59" s="51">
        <v>4.68</v>
      </c>
      <c r="O59" s="51">
        <v>31.29</v>
      </c>
      <c r="P59" s="51">
        <v>20.55</v>
      </c>
      <c r="Q59" s="51">
        <v>20.34</v>
      </c>
      <c r="R59" s="51">
        <v>33.229999999999997</v>
      </c>
      <c r="S59" s="51">
        <v>29.95</v>
      </c>
      <c r="T59" s="51">
        <v>33.93</v>
      </c>
      <c r="U59" s="51">
        <v>33.130000000000003</v>
      </c>
      <c r="V59" s="51">
        <v>23.79</v>
      </c>
      <c r="W59" s="50" t="s">
        <v>5</v>
      </c>
      <c r="X59" s="50" t="s">
        <v>5</v>
      </c>
      <c r="Y59" s="50" t="s">
        <v>5</v>
      </c>
      <c r="Z59" s="50" t="s">
        <v>5</v>
      </c>
      <c r="AA59" s="50" t="s">
        <v>5</v>
      </c>
      <c r="AB59" s="50" t="s">
        <v>5</v>
      </c>
      <c r="AC59" s="50" t="s">
        <v>5</v>
      </c>
      <c r="AD59" s="2"/>
      <c r="AE59" s="51">
        <v>1.7000000000000001E-2</v>
      </c>
      <c r="AF59" s="50" t="s">
        <v>5</v>
      </c>
      <c r="AG59" s="2"/>
      <c r="AH59" s="50" t="s">
        <v>5</v>
      </c>
      <c r="AI59" s="50" t="s">
        <v>5</v>
      </c>
      <c r="AJ59" s="50" t="s">
        <v>5</v>
      </c>
      <c r="AK59" s="50" t="s">
        <v>5</v>
      </c>
      <c r="AL59" s="50" t="s">
        <v>5</v>
      </c>
      <c r="AM59" s="50" t="s">
        <v>5</v>
      </c>
      <c r="AN59" s="2"/>
      <c r="AO59" s="51">
        <v>0.25</v>
      </c>
      <c r="AP59" s="51">
        <v>0.17</v>
      </c>
      <c r="AQ59" s="51">
        <v>0.09</v>
      </c>
      <c r="AR59" s="50" t="s">
        <v>5</v>
      </c>
      <c r="AS59" s="50" t="s">
        <v>5</v>
      </c>
      <c r="AT59" s="51">
        <v>12.35</v>
      </c>
      <c r="AU59" s="51">
        <v>12.92</v>
      </c>
      <c r="AV59" s="51">
        <v>9.61</v>
      </c>
      <c r="AW59" s="50" t="s">
        <v>5</v>
      </c>
      <c r="AX59" s="50" t="s">
        <v>5</v>
      </c>
      <c r="AY59" s="51">
        <v>31.29</v>
      </c>
      <c r="AZ59" s="51">
        <v>20.55</v>
      </c>
      <c r="BA59" s="51">
        <v>20.34</v>
      </c>
      <c r="BB59" s="50" t="s">
        <v>5</v>
      </c>
      <c r="BC59" s="50" t="s">
        <v>5</v>
      </c>
      <c r="BD59" s="56"/>
      <c r="BE59" s="56"/>
      <c r="BF59" s="50" t="s">
        <v>5</v>
      </c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</row>
    <row r="60" spans="1:137">
      <c r="A60" s="3">
        <v>2066</v>
      </c>
      <c r="B60" s="51">
        <v>0.08</v>
      </c>
      <c r="C60" s="51">
        <v>0.06</v>
      </c>
      <c r="D60" s="51">
        <v>0.08</v>
      </c>
      <c r="E60" s="51">
        <v>0.06</v>
      </c>
      <c r="F60" s="51">
        <v>0.05</v>
      </c>
      <c r="G60" s="52" t="s">
        <v>5</v>
      </c>
      <c r="H60" s="51">
        <v>81.709999999999994</v>
      </c>
      <c r="I60" s="50">
        <v>0</v>
      </c>
      <c r="J60" s="51">
        <v>17.100000000000001</v>
      </c>
      <c r="K60" s="50">
        <v>0</v>
      </c>
      <c r="L60" s="2"/>
      <c r="M60" s="2"/>
      <c r="N60" s="51">
        <v>4.68</v>
      </c>
      <c r="O60" s="51">
        <v>31.29</v>
      </c>
      <c r="P60" s="51">
        <v>20.55</v>
      </c>
      <c r="Q60" s="51">
        <v>20.34</v>
      </c>
      <c r="R60" s="51">
        <v>33.229999999999997</v>
      </c>
      <c r="S60" s="51">
        <v>29.95</v>
      </c>
      <c r="T60" s="51">
        <v>33.93</v>
      </c>
      <c r="U60" s="51">
        <v>33.130000000000003</v>
      </c>
      <c r="V60" s="51">
        <v>23.79</v>
      </c>
      <c r="W60" s="50" t="s">
        <v>5</v>
      </c>
      <c r="X60" s="50" t="s">
        <v>5</v>
      </c>
      <c r="Y60" s="50" t="s">
        <v>5</v>
      </c>
      <c r="Z60" s="50" t="s">
        <v>5</v>
      </c>
      <c r="AA60" s="50" t="s">
        <v>5</v>
      </c>
      <c r="AB60" s="50" t="s">
        <v>5</v>
      </c>
      <c r="AC60" s="50" t="s">
        <v>5</v>
      </c>
      <c r="AD60" s="2"/>
      <c r="AE60" s="51">
        <v>1.7000000000000001E-2</v>
      </c>
      <c r="AF60" s="50" t="s">
        <v>5</v>
      </c>
      <c r="AG60" s="2"/>
      <c r="AH60" s="50" t="s">
        <v>5</v>
      </c>
      <c r="AI60" s="50" t="s">
        <v>5</v>
      </c>
      <c r="AJ60" s="50" t="s">
        <v>5</v>
      </c>
      <c r="AK60" s="50" t="s">
        <v>5</v>
      </c>
      <c r="AL60" s="50" t="s">
        <v>5</v>
      </c>
      <c r="AM60" s="50" t="s">
        <v>5</v>
      </c>
      <c r="AN60" s="2"/>
      <c r="AO60" s="51">
        <v>0.25</v>
      </c>
      <c r="AP60" s="51">
        <v>0.17</v>
      </c>
      <c r="AQ60" s="51">
        <v>0.09</v>
      </c>
      <c r="AR60" s="50" t="s">
        <v>5</v>
      </c>
      <c r="AS60" s="50" t="s">
        <v>5</v>
      </c>
      <c r="AT60" s="51">
        <v>12.35</v>
      </c>
      <c r="AU60" s="51">
        <v>12.92</v>
      </c>
      <c r="AV60" s="51">
        <v>9.61</v>
      </c>
      <c r="AW60" s="50" t="s">
        <v>5</v>
      </c>
      <c r="AX60" s="50" t="s">
        <v>5</v>
      </c>
      <c r="AY60" s="51">
        <v>31.29</v>
      </c>
      <c r="AZ60" s="51">
        <v>20.55</v>
      </c>
      <c r="BA60" s="51">
        <v>20.34</v>
      </c>
      <c r="BB60" s="50" t="s">
        <v>5</v>
      </c>
      <c r="BC60" s="50" t="s">
        <v>5</v>
      </c>
      <c r="BD60" s="56"/>
      <c r="BE60" s="56"/>
      <c r="BF60" s="50" t="s">
        <v>5</v>
      </c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</row>
    <row r="61" spans="1:137">
      <c r="A61" s="3">
        <v>2067</v>
      </c>
      <c r="B61" s="51">
        <v>0.08</v>
      </c>
      <c r="C61" s="51">
        <v>0.06</v>
      </c>
      <c r="D61" s="51">
        <v>0.08</v>
      </c>
      <c r="E61" s="51">
        <v>0.06</v>
      </c>
      <c r="F61" s="51">
        <v>0.05</v>
      </c>
      <c r="G61" s="52" t="s">
        <v>5</v>
      </c>
      <c r="H61" s="51">
        <v>81.709999999999994</v>
      </c>
      <c r="I61" s="50">
        <v>0</v>
      </c>
      <c r="J61" s="51">
        <v>17.100000000000001</v>
      </c>
      <c r="K61" s="50">
        <v>0</v>
      </c>
      <c r="L61" s="2"/>
      <c r="M61" s="2"/>
      <c r="N61" s="51">
        <v>4.68</v>
      </c>
      <c r="O61" s="51">
        <v>31.29</v>
      </c>
      <c r="P61" s="51">
        <v>20.55</v>
      </c>
      <c r="Q61" s="51">
        <v>20.34</v>
      </c>
      <c r="R61" s="51">
        <v>33.229999999999997</v>
      </c>
      <c r="S61" s="51">
        <v>29.95</v>
      </c>
      <c r="T61" s="51">
        <v>33.93</v>
      </c>
      <c r="U61" s="51">
        <v>33.130000000000003</v>
      </c>
      <c r="V61" s="51">
        <v>23.79</v>
      </c>
      <c r="W61" s="50" t="s">
        <v>5</v>
      </c>
      <c r="X61" s="50" t="s">
        <v>5</v>
      </c>
      <c r="Y61" s="50" t="s">
        <v>5</v>
      </c>
      <c r="Z61" s="50" t="s">
        <v>5</v>
      </c>
      <c r="AA61" s="50" t="s">
        <v>5</v>
      </c>
      <c r="AB61" s="50" t="s">
        <v>5</v>
      </c>
      <c r="AC61" s="50" t="s">
        <v>5</v>
      </c>
      <c r="AD61" s="2"/>
      <c r="AE61" s="51">
        <v>1.7000000000000001E-2</v>
      </c>
      <c r="AF61" s="50" t="s">
        <v>5</v>
      </c>
      <c r="AG61" s="2"/>
      <c r="AH61" s="50" t="s">
        <v>5</v>
      </c>
      <c r="AI61" s="50" t="s">
        <v>5</v>
      </c>
      <c r="AJ61" s="50" t="s">
        <v>5</v>
      </c>
      <c r="AK61" s="50" t="s">
        <v>5</v>
      </c>
      <c r="AL61" s="50" t="s">
        <v>5</v>
      </c>
      <c r="AM61" s="50" t="s">
        <v>5</v>
      </c>
      <c r="AN61" s="2"/>
      <c r="AO61" s="51">
        <v>0.25</v>
      </c>
      <c r="AP61" s="51">
        <v>0.17</v>
      </c>
      <c r="AQ61" s="51">
        <v>0.09</v>
      </c>
      <c r="AR61" s="50" t="s">
        <v>5</v>
      </c>
      <c r="AS61" s="50" t="s">
        <v>5</v>
      </c>
      <c r="AT61" s="51">
        <v>12.35</v>
      </c>
      <c r="AU61" s="51">
        <v>12.92</v>
      </c>
      <c r="AV61" s="51">
        <v>9.61</v>
      </c>
      <c r="AW61" s="50" t="s">
        <v>5</v>
      </c>
      <c r="AX61" s="50" t="s">
        <v>5</v>
      </c>
      <c r="AY61" s="51">
        <v>31.29</v>
      </c>
      <c r="AZ61" s="51">
        <v>20.55</v>
      </c>
      <c r="BA61" s="51">
        <v>20.34</v>
      </c>
      <c r="BB61" s="50" t="s">
        <v>5</v>
      </c>
      <c r="BC61" s="50" t="s">
        <v>5</v>
      </c>
      <c r="BD61" s="56"/>
      <c r="BE61" s="56"/>
      <c r="BF61" s="50" t="s">
        <v>5</v>
      </c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</row>
    <row r="62" spans="1:137">
      <c r="A62" s="3">
        <v>2068</v>
      </c>
      <c r="B62" s="51">
        <v>0.08</v>
      </c>
      <c r="C62" s="51">
        <v>0.06</v>
      </c>
      <c r="D62" s="51">
        <v>0.08</v>
      </c>
      <c r="E62" s="51">
        <v>0.06</v>
      </c>
      <c r="F62" s="51">
        <v>0.05</v>
      </c>
      <c r="G62" s="52" t="s">
        <v>5</v>
      </c>
      <c r="H62" s="51">
        <v>81.709999999999994</v>
      </c>
      <c r="I62" s="50">
        <v>0</v>
      </c>
      <c r="J62" s="51">
        <v>17.100000000000001</v>
      </c>
      <c r="K62" s="50">
        <v>0</v>
      </c>
      <c r="L62" s="2"/>
      <c r="M62" s="2"/>
      <c r="N62" s="51">
        <v>4.68</v>
      </c>
      <c r="O62" s="51">
        <v>31.29</v>
      </c>
      <c r="P62" s="51">
        <v>20.55</v>
      </c>
      <c r="Q62" s="51">
        <v>20.34</v>
      </c>
      <c r="R62" s="51">
        <v>33.229999999999997</v>
      </c>
      <c r="S62" s="51">
        <v>29.95</v>
      </c>
      <c r="T62" s="51">
        <v>33.93</v>
      </c>
      <c r="U62" s="51">
        <v>33.130000000000003</v>
      </c>
      <c r="V62" s="51">
        <v>23.79</v>
      </c>
      <c r="W62" s="50" t="s">
        <v>5</v>
      </c>
      <c r="X62" s="50" t="s">
        <v>5</v>
      </c>
      <c r="Y62" s="50" t="s">
        <v>5</v>
      </c>
      <c r="Z62" s="50" t="s">
        <v>5</v>
      </c>
      <c r="AA62" s="50" t="s">
        <v>5</v>
      </c>
      <c r="AB62" s="50" t="s">
        <v>5</v>
      </c>
      <c r="AC62" s="50" t="s">
        <v>5</v>
      </c>
      <c r="AD62" s="2"/>
      <c r="AE62" s="51">
        <v>1.7000000000000001E-2</v>
      </c>
      <c r="AF62" s="50" t="s">
        <v>5</v>
      </c>
      <c r="AG62" s="2"/>
      <c r="AH62" s="50" t="s">
        <v>5</v>
      </c>
      <c r="AI62" s="50" t="s">
        <v>5</v>
      </c>
      <c r="AJ62" s="50" t="s">
        <v>5</v>
      </c>
      <c r="AK62" s="50" t="s">
        <v>5</v>
      </c>
      <c r="AL62" s="50" t="s">
        <v>5</v>
      </c>
      <c r="AM62" s="50" t="s">
        <v>5</v>
      </c>
      <c r="AN62" s="2"/>
      <c r="AO62" s="51">
        <v>0.25</v>
      </c>
      <c r="AP62" s="51">
        <v>0.17</v>
      </c>
      <c r="AQ62" s="51">
        <v>0.09</v>
      </c>
      <c r="AR62" s="50" t="s">
        <v>5</v>
      </c>
      <c r="AS62" s="50" t="s">
        <v>5</v>
      </c>
      <c r="AT62" s="51">
        <v>12.35</v>
      </c>
      <c r="AU62" s="51">
        <v>12.92</v>
      </c>
      <c r="AV62" s="51">
        <v>9.61</v>
      </c>
      <c r="AW62" s="50" t="s">
        <v>5</v>
      </c>
      <c r="AX62" s="50" t="s">
        <v>5</v>
      </c>
      <c r="AY62" s="51">
        <v>31.29</v>
      </c>
      <c r="AZ62" s="51">
        <v>20.55</v>
      </c>
      <c r="BA62" s="51">
        <v>20.34</v>
      </c>
      <c r="BB62" s="50" t="s">
        <v>5</v>
      </c>
      <c r="BC62" s="50" t="s">
        <v>5</v>
      </c>
      <c r="BD62" s="56"/>
      <c r="BE62" s="56"/>
      <c r="BF62" s="50" t="s">
        <v>5</v>
      </c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</row>
    <row r="63" spans="1:137">
      <c r="A63" s="3">
        <v>2069</v>
      </c>
      <c r="B63" s="51">
        <v>0.08</v>
      </c>
      <c r="C63" s="51">
        <v>0.06</v>
      </c>
      <c r="D63" s="51">
        <v>0.08</v>
      </c>
      <c r="E63" s="51">
        <v>0.06</v>
      </c>
      <c r="F63" s="51">
        <v>0.05</v>
      </c>
      <c r="G63" s="52" t="s">
        <v>5</v>
      </c>
      <c r="H63" s="51">
        <v>81.709999999999994</v>
      </c>
      <c r="I63" s="50">
        <v>0</v>
      </c>
      <c r="J63" s="51">
        <v>17.100000000000001</v>
      </c>
      <c r="K63" s="50">
        <v>0</v>
      </c>
      <c r="L63" s="2"/>
      <c r="M63" s="2"/>
      <c r="N63" s="51">
        <v>4.68</v>
      </c>
      <c r="O63" s="51">
        <v>31.29</v>
      </c>
      <c r="P63" s="51">
        <v>20.55</v>
      </c>
      <c r="Q63" s="51">
        <v>20.34</v>
      </c>
      <c r="R63" s="51">
        <v>33.229999999999997</v>
      </c>
      <c r="S63" s="51">
        <v>29.95</v>
      </c>
      <c r="T63" s="51">
        <v>33.93</v>
      </c>
      <c r="U63" s="51">
        <v>33.130000000000003</v>
      </c>
      <c r="V63" s="51">
        <v>23.79</v>
      </c>
      <c r="W63" s="50" t="s">
        <v>5</v>
      </c>
      <c r="X63" s="50" t="s">
        <v>5</v>
      </c>
      <c r="Y63" s="50" t="s">
        <v>5</v>
      </c>
      <c r="Z63" s="50" t="s">
        <v>5</v>
      </c>
      <c r="AA63" s="50" t="s">
        <v>5</v>
      </c>
      <c r="AB63" s="50" t="s">
        <v>5</v>
      </c>
      <c r="AC63" s="50" t="s">
        <v>5</v>
      </c>
      <c r="AD63" s="2"/>
      <c r="AE63" s="51">
        <v>1.7000000000000001E-2</v>
      </c>
      <c r="AF63" s="50" t="s">
        <v>5</v>
      </c>
      <c r="AG63" s="2"/>
      <c r="AH63" s="50" t="s">
        <v>5</v>
      </c>
      <c r="AI63" s="50" t="s">
        <v>5</v>
      </c>
      <c r="AJ63" s="50" t="s">
        <v>5</v>
      </c>
      <c r="AK63" s="50" t="s">
        <v>5</v>
      </c>
      <c r="AL63" s="50" t="s">
        <v>5</v>
      </c>
      <c r="AM63" s="50" t="s">
        <v>5</v>
      </c>
      <c r="AN63" s="2"/>
      <c r="AO63" s="51">
        <v>0.25</v>
      </c>
      <c r="AP63" s="51">
        <v>0.17</v>
      </c>
      <c r="AQ63" s="51">
        <v>0.09</v>
      </c>
      <c r="AR63" s="50" t="s">
        <v>5</v>
      </c>
      <c r="AS63" s="50" t="s">
        <v>5</v>
      </c>
      <c r="AT63" s="51">
        <v>12.35</v>
      </c>
      <c r="AU63" s="51">
        <v>12.92</v>
      </c>
      <c r="AV63" s="51">
        <v>9.61</v>
      </c>
      <c r="AW63" s="50" t="s">
        <v>5</v>
      </c>
      <c r="AX63" s="50" t="s">
        <v>5</v>
      </c>
      <c r="AY63" s="51">
        <v>31.29</v>
      </c>
      <c r="AZ63" s="51">
        <v>20.55</v>
      </c>
      <c r="BA63" s="51">
        <v>20.34</v>
      </c>
      <c r="BB63" s="50" t="s">
        <v>5</v>
      </c>
      <c r="BC63" s="50" t="s">
        <v>5</v>
      </c>
      <c r="BD63" s="56"/>
      <c r="BE63" s="56"/>
      <c r="BF63" s="50" t="s">
        <v>5</v>
      </c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</row>
    <row r="64" spans="1:137">
      <c r="A64" s="3">
        <v>2070</v>
      </c>
      <c r="B64" s="51">
        <v>0.08</v>
      </c>
      <c r="C64" s="51">
        <v>0.06</v>
      </c>
      <c r="D64" s="51">
        <v>0.08</v>
      </c>
      <c r="E64" s="51">
        <v>0.06</v>
      </c>
      <c r="F64" s="51">
        <v>0.05</v>
      </c>
      <c r="G64" s="52" t="s">
        <v>5</v>
      </c>
      <c r="H64" s="51">
        <v>81.709999999999994</v>
      </c>
      <c r="I64" s="50">
        <v>0</v>
      </c>
      <c r="J64" s="51">
        <v>17.100000000000001</v>
      </c>
      <c r="K64" s="50">
        <v>0</v>
      </c>
      <c r="L64" s="2"/>
      <c r="M64" s="2"/>
      <c r="N64" s="51">
        <v>4.68</v>
      </c>
      <c r="O64" s="51">
        <v>31.29</v>
      </c>
      <c r="P64" s="51">
        <v>20.55</v>
      </c>
      <c r="Q64" s="51">
        <v>20.34</v>
      </c>
      <c r="R64" s="51">
        <v>33.229999999999997</v>
      </c>
      <c r="S64" s="51">
        <v>29.95</v>
      </c>
      <c r="T64" s="51">
        <v>33.93</v>
      </c>
      <c r="U64" s="51">
        <v>33.130000000000003</v>
      </c>
      <c r="V64" s="51">
        <v>23.79</v>
      </c>
      <c r="W64" s="50" t="s">
        <v>5</v>
      </c>
      <c r="X64" s="50" t="s">
        <v>5</v>
      </c>
      <c r="Y64" s="50" t="s">
        <v>5</v>
      </c>
      <c r="Z64" s="50" t="s">
        <v>5</v>
      </c>
      <c r="AA64" s="50" t="s">
        <v>5</v>
      </c>
      <c r="AB64" s="50" t="s">
        <v>5</v>
      </c>
      <c r="AC64" s="50" t="s">
        <v>5</v>
      </c>
      <c r="AD64" s="2"/>
      <c r="AE64" s="51">
        <v>1.7000000000000001E-2</v>
      </c>
      <c r="AF64" s="50" t="s">
        <v>5</v>
      </c>
      <c r="AG64" s="2"/>
      <c r="AH64" s="50" t="s">
        <v>5</v>
      </c>
      <c r="AI64" s="50" t="s">
        <v>5</v>
      </c>
      <c r="AJ64" s="50" t="s">
        <v>5</v>
      </c>
      <c r="AK64" s="50" t="s">
        <v>5</v>
      </c>
      <c r="AL64" s="50" t="s">
        <v>5</v>
      </c>
      <c r="AM64" s="50" t="s">
        <v>5</v>
      </c>
      <c r="AN64" s="2"/>
      <c r="AO64" s="51">
        <v>0.25</v>
      </c>
      <c r="AP64" s="51">
        <v>0.17</v>
      </c>
      <c r="AQ64" s="51">
        <v>0.09</v>
      </c>
      <c r="AR64" s="50" t="s">
        <v>5</v>
      </c>
      <c r="AS64" s="50" t="s">
        <v>5</v>
      </c>
      <c r="AT64" s="51">
        <v>12.35</v>
      </c>
      <c r="AU64" s="51">
        <v>12.92</v>
      </c>
      <c r="AV64" s="51">
        <v>9.61</v>
      </c>
      <c r="AW64" s="50" t="s">
        <v>5</v>
      </c>
      <c r="AX64" s="50" t="s">
        <v>5</v>
      </c>
      <c r="AY64" s="51">
        <v>31.29</v>
      </c>
      <c r="AZ64" s="51">
        <v>20.55</v>
      </c>
      <c r="BA64" s="51">
        <v>20.34</v>
      </c>
      <c r="BB64" s="50" t="s">
        <v>5</v>
      </c>
      <c r="BC64" s="50" t="s">
        <v>5</v>
      </c>
      <c r="BD64" s="56"/>
      <c r="BE64" s="56"/>
      <c r="BF64" s="50" t="s">
        <v>5</v>
      </c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</row>
    <row r="65" spans="1:137">
      <c r="A65" s="3">
        <v>2071</v>
      </c>
      <c r="B65" s="51">
        <v>0.08</v>
      </c>
      <c r="C65" s="51">
        <v>0.06</v>
      </c>
      <c r="D65" s="51">
        <v>0.08</v>
      </c>
      <c r="E65" s="51">
        <v>0.06</v>
      </c>
      <c r="F65" s="51">
        <v>0.05</v>
      </c>
      <c r="G65" s="52" t="s">
        <v>5</v>
      </c>
      <c r="H65" s="51">
        <v>81.709999999999994</v>
      </c>
      <c r="I65" s="50">
        <v>0</v>
      </c>
      <c r="J65" s="51">
        <v>17.100000000000001</v>
      </c>
      <c r="K65" s="50">
        <v>0</v>
      </c>
      <c r="L65" s="2"/>
      <c r="M65" s="2"/>
      <c r="N65" s="51">
        <v>4.68</v>
      </c>
      <c r="O65" s="51">
        <v>31.29</v>
      </c>
      <c r="P65" s="51">
        <v>20.55</v>
      </c>
      <c r="Q65" s="51">
        <v>20.34</v>
      </c>
      <c r="R65" s="51">
        <v>33.229999999999997</v>
      </c>
      <c r="S65" s="51">
        <v>29.95</v>
      </c>
      <c r="T65" s="51">
        <v>33.93</v>
      </c>
      <c r="U65" s="51">
        <v>33.130000000000003</v>
      </c>
      <c r="V65" s="51">
        <v>23.79</v>
      </c>
      <c r="W65" s="50" t="s">
        <v>5</v>
      </c>
      <c r="X65" s="50" t="s">
        <v>5</v>
      </c>
      <c r="Y65" s="50" t="s">
        <v>5</v>
      </c>
      <c r="Z65" s="50" t="s">
        <v>5</v>
      </c>
      <c r="AA65" s="50" t="s">
        <v>5</v>
      </c>
      <c r="AB65" s="50" t="s">
        <v>5</v>
      </c>
      <c r="AC65" s="50" t="s">
        <v>5</v>
      </c>
      <c r="AD65" s="2"/>
      <c r="AE65" s="51">
        <v>1.7000000000000001E-2</v>
      </c>
      <c r="AF65" s="50" t="s">
        <v>5</v>
      </c>
      <c r="AG65" s="2"/>
      <c r="AH65" s="50" t="s">
        <v>5</v>
      </c>
      <c r="AI65" s="50" t="s">
        <v>5</v>
      </c>
      <c r="AJ65" s="50" t="s">
        <v>5</v>
      </c>
      <c r="AK65" s="50" t="s">
        <v>5</v>
      </c>
      <c r="AL65" s="50" t="s">
        <v>5</v>
      </c>
      <c r="AM65" s="50" t="s">
        <v>5</v>
      </c>
      <c r="AN65" s="2"/>
      <c r="AO65" s="51">
        <v>0.25</v>
      </c>
      <c r="AP65" s="51">
        <v>0.17</v>
      </c>
      <c r="AQ65" s="51">
        <v>0.09</v>
      </c>
      <c r="AR65" s="50" t="s">
        <v>5</v>
      </c>
      <c r="AS65" s="50" t="s">
        <v>5</v>
      </c>
      <c r="AT65" s="51">
        <v>12.35</v>
      </c>
      <c r="AU65" s="51">
        <v>12.92</v>
      </c>
      <c r="AV65" s="51">
        <v>9.61</v>
      </c>
      <c r="AW65" s="50" t="s">
        <v>5</v>
      </c>
      <c r="AX65" s="50" t="s">
        <v>5</v>
      </c>
      <c r="AY65" s="51">
        <v>31.29</v>
      </c>
      <c r="AZ65" s="51">
        <v>20.55</v>
      </c>
      <c r="BA65" s="51">
        <v>20.34</v>
      </c>
      <c r="BB65" s="50" t="s">
        <v>5</v>
      </c>
      <c r="BC65" s="50" t="s">
        <v>5</v>
      </c>
      <c r="BD65" s="56"/>
      <c r="BE65" s="56"/>
      <c r="BF65" s="50" t="s">
        <v>5</v>
      </c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</row>
    <row r="66" spans="1:137">
      <c r="A66" s="3">
        <v>2072</v>
      </c>
      <c r="B66" s="51">
        <v>0.08</v>
      </c>
      <c r="C66" s="51">
        <v>0.06</v>
      </c>
      <c r="D66" s="51">
        <v>0.08</v>
      </c>
      <c r="E66" s="51">
        <v>0.06</v>
      </c>
      <c r="F66" s="51">
        <v>0.05</v>
      </c>
      <c r="G66" s="52" t="s">
        <v>5</v>
      </c>
      <c r="H66" s="51">
        <v>81.709999999999994</v>
      </c>
      <c r="I66" s="50">
        <v>0</v>
      </c>
      <c r="J66" s="51">
        <v>17.100000000000001</v>
      </c>
      <c r="K66" s="50">
        <v>0</v>
      </c>
      <c r="L66" s="2"/>
      <c r="M66" s="2"/>
      <c r="N66" s="51">
        <v>4.68</v>
      </c>
      <c r="O66" s="51">
        <v>31.29</v>
      </c>
      <c r="P66" s="51">
        <v>20.55</v>
      </c>
      <c r="Q66" s="51">
        <v>20.34</v>
      </c>
      <c r="R66" s="51">
        <v>33.229999999999997</v>
      </c>
      <c r="S66" s="51">
        <v>29.95</v>
      </c>
      <c r="T66" s="51">
        <v>33.93</v>
      </c>
      <c r="U66" s="51">
        <v>33.130000000000003</v>
      </c>
      <c r="V66" s="51">
        <v>23.79</v>
      </c>
      <c r="W66" s="50" t="s">
        <v>5</v>
      </c>
      <c r="X66" s="50" t="s">
        <v>5</v>
      </c>
      <c r="Y66" s="50" t="s">
        <v>5</v>
      </c>
      <c r="Z66" s="50" t="s">
        <v>5</v>
      </c>
      <c r="AA66" s="50" t="s">
        <v>5</v>
      </c>
      <c r="AB66" s="50" t="s">
        <v>5</v>
      </c>
      <c r="AC66" s="50" t="s">
        <v>5</v>
      </c>
      <c r="AD66" s="2"/>
      <c r="AE66" s="51">
        <v>1.7000000000000001E-2</v>
      </c>
      <c r="AF66" s="50" t="s">
        <v>5</v>
      </c>
      <c r="AG66" s="2"/>
      <c r="AH66" s="50" t="s">
        <v>5</v>
      </c>
      <c r="AI66" s="50" t="s">
        <v>5</v>
      </c>
      <c r="AJ66" s="50" t="s">
        <v>5</v>
      </c>
      <c r="AK66" s="50" t="s">
        <v>5</v>
      </c>
      <c r="AL66" s="50" t="s">
        <v>5</v>
      </c>
      <c r="AM66" s="50" t="s">
        <v>5</v>
      </c>
      <c r="AN66" s="2"/>
      <c r="AO66" s="51">
        <v>0.25</v>
      </c>
      <c r="AP66" s="51">
        <v>0.17</v>
      </c>
      <c r="AQ66" s="51">
        <v>0.09</v>
      </c>
      <c r="AR66" s="50" t="s">
        <v>5</v>
      </c>
      <c r="AS66" s="50" t="s">
        <v>5</v>
      </c>
      <c r="AT66" s="51">
        <v>12.35</v>
      </c>
      <c r="AU66" s="51">
        <v>12.92</v>
      </c>
      <c r="AV66" s="51">
        <v>9.61</v>
      </c>
      <c r="AW66" s="50" t="s">
        <v>5</v>
      </c>
      <c r="AX66" s="50" t="s">
        <v>5</v>
      </c>
      <c r="AY66" s="51">
        <v>31.29</v>
      </c>
      <c r="AZ66" s="51">
        <v>20.55</v>
      </c>
      <c r="BA66" s="51">
        <v>20.34</v>
      </c>
      <c r="BB66" s="50" t="s">
        <v>5</v>
      </c>
      <c r="BC66" s="50" t="s">
        <v>5</v>
      </c>
      <c r="BD66" s="56"/>
      <c r="BE66" s="56"/>
      <c r="BF66" s="50" t="s">
        <v>5</v>
      </c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</row>
    <row r="67" spans="1:137">
      <c r="A67" s="3">
        <v>2073</v>
      </c>
      <c r="B67" s="51">
        <v>0.08</v>
      </c>
      <c r="C67" s="51">
        <v>0.06</v>
      </c>
      <c r="D67" s="51">
        <v>0.08</v>
      </c>
      <c r="E67" s="51">
        <v>0.06</v>
      </c>
      <c r="F67" s="51">
        <v>0.05</v>
      </c>
      <c r="G67" s="52" t="s">
        <v>5</v>
      </c>
      <c r="H67" s="51">
        <v>81.709999999999994</v>
      </c>
      <c r="I67" s="50">
        <v>0</v>
      </c>
      <c r="J67" s="51">
        <v>17.100000000000001</v>
      </c>
      <c r="K67" s="50">
        <v>0</v>
      </c>
      <c r="L67" s="2"/>
      <c r="M67" s="2"/>
      <c r="N67" s="51">
        <v>4.68</v>
      </c>
      <c r="O67" s="51">
        <v>31.29</v>
      </c>
      <c r="P67" s="51">
        <v>20.55</v>
      </c>
      <c r="Q67" s="51">
        <v>20.34</v>
      </c>
      <c r="R67" s="51">
        <v>33.229999999999997</v>
      </c>
      <c r="S67" s="51">
        <v>29.95</v>
      </c>
      <c r="T67" s="51">
        <v>33.93</v>
      </c>
      <c r="U67" s="51">
        <v>33.130000000000003</v>
      </c>
      <c r="V67" s="51">
        <v>23.79</v>
      </c>
      <c r="W67" s="50" t="s">
        <v>5</v>
      </c>
      <c r="X67" s="50" t="s">
        <v>5</v>
      </c>
      <c r="Y67" s="50" t="s">
        <v>5</v>
      </c>
      <c r="Z67" s="50" t="s">
        <v>5</v>
      </c>
      <c r="AA67" s="50" t="s">
        <v>5</v>
      </c>
      <c r="AB67" s="50" t="s">
        <v>5</v>
      </c>
      <c r="AC67" s="50" t="s">
        <v>5</v>
      </c>
      <c r="AD67" s="2"/>
      <c r="AE67" s="51">
        <v>1.7000000000000001E-2</v>
      </c>
      <c r="AF67" s="50" t="s">
        <v>5</v>
      </c>
      <c r="AG67" s="2"/>
      <c r="AH67" s="50" t="s">
        <v>5</v>
      </c>
      <c r="AI67" s="50" t="s">
        <v>5</v>
      </c>
      <c r="AJ67" s="50" t="s">
        <v>5</v>
      </c>
      <c r="AK67" s="50" t="s">
        <v>5</v>
      </c>
      <c r="AL67" s="50" t="s">
        <v>5</v>
      </c>
      <c r="AM67" s="50" t="s">
        <v>5</v>
      </c>
      <c r="AN67" s="2"/>
      <c r="AO67" s="51">
        <v>0.25</v>
      </c>
      <c r="AP67" s="51">
        <v>0.17</v>
      </c>
      <c r="AQ67" s="51">
        <v>0.09</v>
      </c>
      <c r="AR67" s="50" t="s">
        <v>5</v>
      </c>
      <c r="AS67" s="50" t="s">
        <v>5</v>
      </c>
      <c r="AT67" s="51">
        <v>12.35</v>
      </c>
      <c r="AU67" s="51">
        <v>12.92</v>
      </c>
      <c r="AV67" s="51">
        <v>9.61</v>
      </c>
      <c r="AW67" s="50" t="s">
        <v>5</v>
      </c>
      <c r="AX67" s="50" t="s">
        <v>5</v>
      </c>
      <c r="AY67" s="51">
        <v>31.29</v>
      </c>
      <c r="AZ67" s="51">
        <v>20.55</v>
      </c>
      <c r="BA67" s="51">
        <v>20.34</v>
      </c>
      <c r="BB67" s="50" t="s">
        <v>5</v>
      </c>
      <c r="BC67" s="50" t="s">
        <v>5</v>
      </c>
      <c r="BD67" s="56"/>
      <c r="BE67" s="56"/>
      <c r="BF67" s="50" t="s">
        <v>5</v>
      </c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</row>
    <row r="68" spans="1:137">
      <c r="A68" s="3">
        <v>2074</v>
      </c>
      <c r="B68" s="51">
        <v>0.08</v>
      </c>
      <c r="C68" s="51">
        <v>0.06</v>
      </c>
      <c r="D68" s="51">
        <v>0.08</v>
      </c>
      <c r="E68" s="51">
        <v>0.06</v>
      </c>
      <c r="F68" s="51">
        <v>0.05</v>
      </c>
      <c r="G68" s="52" t="s">
        <v>5</v>
      </c>
      <c r="H68" s="51">
        <v>81.709999999999994</v>
      </c>
      <c r="I68" s="50">
        <v>0</v>
      </c>
      <c r="J68" s="51">
        <v>17.100000000000001</v>
      </c>
      <c r="K68" s="50">
        <v>0</v>
      </c>
      <c r="L68" s="2"/>
      <c r="M68" s="2"/>
      <c r="N68" s="51">
        <v>4.68</v>
      </c>
      <c r="O68" s="51">
        <v>31.29</v>
      </c>
      <c r="P68" s="51">
        <v>20.55</v>
      </c>
      <c r="Q68" s="51">
        <v>20.34</v>
      </c>
      <c r="R68" s="51">
        <v>33.229999999999997</v>
      </c>
      <c r="S68" s="51">
        <v>29.95</v>
      </c>
      <c r="T68" s="51">
        <v>33.93</v>
      </c>
      <c r="U68" s="51">
        <v>33.130000000000003</v>
      </c>
      <c r="V68" s="51">
        <v>23.79</v>
      </c>
      <c r="W68" s="50" t="s">
        <v>5</v>
      </c>
      <c r="X68" s="50" t="s">
        <v>5</v>
      </c>
      <c r="Y68" s="50" t="s">
        <v>5</v>
      </c>
      <c r="Z68" s="50" t="s">
        <v>5</v>
      </c>
      <c r="AA68" s="50" t="s">
        <v>5</v>
      </c>
      <c r="AB68" s="50" t="s">
        <v>5</v>
      </c>
      <c r="AC68" s="50" t="s">
        <v>5</v>
      </c>
      <c r="AD68" s="2"/>
      <c r="AE68" s="51">
        <v>1.7000000000000001E-2</v>
      </c>
      <c r="AF68" s="50" t="s">
        <v>5</v>
      </c>
      <c r="AG68" s="2"/>
      <c r="AH68" s="50" t="s">
        <v>5</v>
      </c>
      <c r="AI68" s="50" t="s">
        <v>5</v>
      </c>
      <c r="AJ68" s="50" t="s">
        <v>5</v>
      </c>
      <c r="AK68" s="50" t="s">
        <v>5</v>
      </c>
      <c r="AL68" s="50" t="s">
        <v>5</v>
      </c>
      <c r="AM68" s="50" t="s">
        <v>5</v>
      </c>
      <c r="AN68" s="2"/>
      <c r="AO68" s="51">
        <v>0.25</v>
      </c>
      <c r="AP68" s="51">
        <v>0.17</v>
      </c>
      <c r="AQ68" s="51">
        <v>0.09</v>
      </c>
      <c r="AR68" s="50" t="s">
        <v>5</v>
      </c>
      <c r="AS68" s="50" t="s">
        <v>5</v>
      </c>
      <c r="AT68" s="51">
        <v>12.35</v>
      </c>
      <c r="AU68" s="51">
        <v>12.92</v>
      </c>
      <c r="AV68" s="51">
        <v>9.61</v>
      </c>
      <c r="AW68" s="50" t="s">
        <v>5</v>
      </c>
      <c r="AX68" s="50" t="s">
        <v>5</v>
      </c>
      <c r="AY68" s="51">
        <v>31.29</v>
      </c>
      <c r="AZ68" s="51">
        <v>20.55</v>
      </c>
      <c r="BA68" s="51">
        <v>20.34</v>
      </c>
      <c r="BB68" s="50" t="s">
        <v>5</v>
      </c>
      <c r="BC68" s="50" t="s">
        <v>5</v>
      </c>
      <c r="BD68" s="56"/>
      <c r="BE68" s="56"/>
      <c r="BF68" s="50" t="s">
        <v>5</v>
      </c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</row>
    <row r="69" spans="1:137">
      <c r="A69" s="3">
        <v>2075</v>
      </c>
      <c r="B69" s="51">
        <v>0.08</v>
      </c>
      <c r="C69" s="51">
        <v>0.06</v>
      </c>
      <c r="D69" s="51">
        <v>0.08</v>
      </c>
      <c r="E69" s="51">
        <v>0.06</v>
      </c>
      <c r="F69" s="51">
        <v>0.05</v>
      </c>
      <c r="G69" s="52" t="s">
        <v>5</v>
      </c>
      <c r="H69" s="51">
        <v>81.709999999999994</v>
      </c>
      <c r="I69" s="50">
        <v>0</v>
      </c>
      <c r="J69" s="51">
        <v>17.100000000000001</v>
      </c>
      <c r="K69" s="50">
        <v>0</v>
      </c>
      <c r="L69" s="2"/>
      <c r="M69" s="2"/>
      <c r="N69" s="51">
        <v>4.68</v>
      </c>
      <c r="O69" s="51">
        <v>31.29</v>
      </c>
      <c r="P69" s="51">
        <v>20.55</v>
      </c>
      <c r="Q69" s="51">
        <v>20.34</v>
      </c>
      <c r="R69" s="51">
        <v>33.229999999999997</v>
      </c>
      <c r="S69" s="51">
        <v>29.95</v>
      </c>
      <c r="T69" s="51">
        <v>33.93</v>
      </c>
      <c r="U69" s="51">
        <v>33.130000000000003</v>
      </c>
      <c r="V69" s="51">
        <v>23.79</v>
      </c>
      <c r="W69" s="50" t="s">
        <v>5</v>
      </c>
      <c r="X69" s="50" t="s">
        <v>5</v>
      </c>
      <c r="Y69" s="50" t="s">
        <v>5</v>
      </c>
      <c r="Z69" s="50" t="s">
        <v>5</v>
      </c>
      <c r="AA69" s="50" t="s">
        <v>5</v>
      </c>
      <c r="AB69" s="50" t="s">
        <v>5</v>
      </c>
      <c r="AC69" s="50" t="s">
        <v>5</v>
      </c>
      <c r="AD69" s="2"/>
      <c r="AE69" s="51">
        <v>1.7000000000000001E-2</v>
      </c>
      <c r="AF69" s="50" t="s">
        <v>5</v>
      </c>
      <c r="AG69" s="2"/>
      <c r="AH69" s="50" t="s">
        <v>5</v>
      </c>
      <c r="AI69" s="50" t="s">
        <v>5</v>
      </c>
      <c r="AJ69" s="50" t="s">
        <v>5</v>
      </c>
      <c r="AK69" s="50" t="s">
        <v>5</v>
      </c>
      <c r="AL69" s="50" t="s">
        <v>5</v>
      </c>
      <c r="AM69" s="50" t="s">
        <v>5</v>
      </c>
      <c r="AN69" s="2"/>
      <c r="AO69" s="51">
        <v>0.25</v>
      </c>
      <c r="AP69" s="51">
        <v>0.17</v>
      </c>
      <c r="AQ69" s="51">
        <v>0.09</v>
      </c>
      <c r="AR69" s="50" t="s">
        <v>5</v>
      </c>
      <c r="AS69" s="50" t="s">
        <v>5</v>
      </c>
      <c r="AT69" s="51">
        <v>12.35</v>
      </c>
      <c r="AU69" s="51">
        <v>12.92</v>
      </c>
      <c r="AV69" s="51">
        <v>9.61</v>
      </c>
      <c r="AW69" s="50" t="s">
        <v>5</v>
      </c>
      <c r="AX69" s="50" t="s">
        <v>5</v>
      </c>
      <c r="AY69" s="51">
        <v>31.29</v>
      </c>
      <c r="AZ69" s="51">
        <v>20.55</v>
      </c>
      <c r="BA69" s="51">
        <v>20.34</v>
      </c>
      <c r="BB69" s="50" t="s">
        <v>5</v>
      </c>
      <c r="BC69" s="50" t="s">
        <v>5</v>
      </c>
      <c r="BD69" s="56"/>
      <c r="BE69" s="56"/>
      <c r="BF69" s="50" t="s">
        <v>5</v>
      </c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</row>
    <row r="70" spans="1:137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56"/>
      <c r="BE70" s="56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</row>
    <row r="71" spans="1:137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56"/>
      <c r="BE71" s="56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3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</row>
  </sheetData>
  <mergeCells count="249">
    <mergeCell ref="BD71:BE71"/>
    <mergeCell ref="BD65:BE65"/>
    <mergeCell ref="BD66:BE66"/>
    <mergeCell ref="BD67:BE67"/>
    <mergeCell ref="BD68:BE68"/>
    <mergeCell ref="BD69:BE69"/>
    <mergeCell ref="BD70:BE70"/>
    <mergeCell ref="BD59:BE59"/>
    <mergeCell ref="BD60:BE60"/>
    <mergeCell ref="BD61:BE61"/>
    <mergeCell ref="BD62:BE62"/>
    <mergeCell ref="BD63:BE63"/>
    <mergeCell ref="BD64:BE64"/>
    <mergeCell ref="BD53:BE53"/>
    <mergeCell ref="BD54:BE54"/>
    <mergeCell ref="BD55:BE55"/>
    <mergeCell ref="BD56:BE56"/>
    <mergeCell ref="BD57:BE57"/>
    <mergeCell ref="BD58:BE58"/>
    <mergeCell ref="BD47:BE47"/>
    <mergeCell ref="BD48:BE48"/>
    <mergeCell ref="BD49:BE49"/>
    <mergeCell ref="BD50:BE50"/>
    <mergeCell ref="BD51:BE51"/>
    <mergeCell ref="BD52:BE52"/>
    <mergeCell ref="BD41:BE41"/>
    <mergeCell ref="BD42:BE42"/>
    <mergeCell ref="BD43:BE43"/>
    <mergeCell ref="BD44:BE44"/>
    <mergeCell ref="BD45:BE45"/>
    <mergeCell ref="BD46:BE46"/>
    <mergeCell ref="BD35:BE35"/>
    <mergeCell ref="BD36:BE36"/>
    <mergeCell ref="BD37:BE37"/>
    <mergeCell ref="BD38:BE38"/>
    <mergeCell ref="BD39:BE39"/>
    <mergeCell ref="BD40:BE40"/>
    <mergeCell ref="BD29:BE29"/>
    <mergeCell ref="BD30:BE30"/>
    <mergeCell ref="BD31:BE31"/>
    <mergeCell ref="BD32:BE32"/>
    <mergeCell ref="BD33:BE33"/>
    <mergeCell ref="BD34:BE34"/>
    <mergeCell ref="BD23:BE23"/>
    <mergeCell ref="BD24:BE24"/>
    <mergeCell ref="BD25:BE25"/>
    <mergeCell ref="BD26:BE26"/>
    <mergeCell ref="BD27:BE27"/>
    <mergeCell ref="BD28:BE28"/>
    <mergeCell ref="EE16:EE17"/>
    <mergeCell ref="EF16:EF17"/>
    <mergeCell ref="EG16:EG17"/>
    <mergeCell ref="BD20:BE20"/>
    <mergeCell ref="BD21:BE21"/>
    <mergeCell ref="BD22:BE22"/>
    <mergeCell ref="DY16:DY17"/>
    <mergeCell ref="DZ16:DZ17"/>
    <mergeCell ref="EA16:EA17"/>
    <mergeCell ref="EB16:EB17"/>
    <mergeCell ref="EC16:EC17"/>
    <mergeCell ref="ED16:ED17"/>
    <mergeCell ref="DS16:DS17"/>
    <mergeCell ref="DT16:DT17"/>
    <mergeCell ref="DU16:DU17"/>
    <mergeCell ref="DV16:DV17"/>
    <mergeCell ref="DW16:DW17"/>
    <mergeCell ref="DX16:DX17"/>
    <mergeCell ref="DM16:DM17"/>
    <mergeCell ref="DN16:DN17"/>
    <mergeCell ref="DO16:DO17"/>
    <mergeCell ref="DP16:DP17"/>
    <mergeCell ref="DQ16:DQ17"/>
    <mergeCell ref="DR16:DR17"/>
    <mergeCell ref="DG16:DG17"/>
    <mergeCell ref="DH16:DH17"/>
    <mergeCell ref="DI16:DI17"/>
    <mergeCell ref="DJ16:DJ17"/>
    <mergeCell ref="DK16:DK17"/>
    <mergeCell ref="DL16:DL17"/>
    <mergeCell ref="DA16:DA17"/>
    <mergeCell ref="DB16:DB17"/>
    <mergeCell ref="DC16:DC17"/>
    <mergeCell ref="DD16:DD17"/>
    <mergeCell ref="DE16:DE17"/>
    <mergeCell ref="DF16:DF17"/>
    <mergeCell ref="CU16:CU17"/>
    <mergeCell ref="CV16:CV17"/>
    <mergeCell ref="CW16:CW17"/>
    <mergeCell ref="CX16:CX17"/>
    <mergeCell ref="CY16:CY17"/>
    <mergeCell ref="CZ16:CZ17"/>
    <mergeCell ref="CO16:CO17"/>
    <mergeCell ref="CP16:CP17"/>
    <mergeCell ref="CQ16:CQ17"/>
    <mergeCell ref="CR16:CR17"/>
    <mergeCell ref="CS16:CS17"/>
    <mergeCell ref="CT16:CT17"/>
    <mergeCell ref="CI16:CI17"/>
    <mergeCell ref="CJ16:CJ17"/>
    <mergeCell ref="CK16:CK17"/>
    <mergeCell ref="CL16:CL17"/>
    <mergeCell ref="CM16:CM17"/>
    <mergeCell ref="CN16:CN17"/>
    <mergeCell ref="CC16:CC17"/>
    <mergeCell ref="CD16:CD17"/>
    <mergeCell ref="CE16:CE17"/>
    <mergeCell ref="CF16:CF17"/>
    <mergeCell ref="CG16:CG17"/>
    <mergeCell ref="CH16:CH17"/>
    <mergeCell ref="BW16:BW17"/>
    <mergeCell ref="BX16:BX17"/>
    <mergeCell ref="BY16:BY17"/>
    <mergeCell ref="BZ16:BZ17"/>
    <mergeCell ref="CA16:CA17"/>
    <mergeCell ref="CB16:CB17"/>
    <mergeCell ref="BQ16:BQ17"/>
    <mergeCell ref="BR16:BR17"/>
    <mergeCell ref="BS16:BS17"/>
    <mergeCell ref="BT16:BT17"/>
    <mergeCell ref="BU16:BU17"/>
    <mergeCell ref="BV16:BV17"/>
    <mergeCell ref="BK16:BK17"/>
    <mergeCell ref="BL16:BL17"/>
    <mergeCell ref="BM16:BM17"/>
    <mergeCell ref="BN16:BN17"/>
    <mergeCell ref="BO16:BO17"/>
    <mergeCell ref="BP16:BP17"/>
    <mergeCell ref="BE16:BE17"/>
    <mergeCell ref="BF16:BF17"/>
    <mergeCell ref="BG16:BG17"/>
    <mergeCell ref="BH16:BH17"/>
    <mergeCell ref="BI16:BI17"/>
    <mergeCell ref="BJ16:BJ17"/>
    <mergeCell ref="AY16:AY17"/>
    <mergeCell ref="AZ16:AZ17"/>
    <mergeCell ref="BA16:BA17"/>
    <mergeCell ref="BB16:BB17"/>
    <mergeCell ref="BC16:BC17"/>
    <mergeCell ref="BD16:BD17"/>
    <mergeCell ref="AS16:AS17"/>
    <mergeCell ref="AT16:AT17"/>
    <mergeCell ref="AU16:AU17"/>
    <mergeCell ref="AV16:AV17"/>
    <mergeCell ref="AW16:AW17"/>
    <mergeCell ref="AX16:AX17"/>
    <mergeCell ref="AM16:AM17"/>
    <mergeCell ref="AN16:AN17"/>
    <mergeCell ref="AO16:AO17"/>
    <mergeCell ref="AP16:AP17"/>
    <mergeCell ref="AQ16:AQ17"/>
    <mergeCell ref="AR16:AR17"/>
    <mergeCell ref="AG16:AG17"/>
    <mergeCell ref="AH16:AH17"/>
    <mergeCell ref="AI16:AI17"/>
    <mergeCell ref="AJ16:AJ17"/>
    <mergeCell ref="AK16:AK17"/>
    <mergeCell ref="AL16:AL17"/>
    <mergeCell ref="AA16:AA17"/>
    <mergeCell ref="AB16:AB17"/>
    <mergeCell ref="AC16:AC17"/>
    <mergeCell ref="AD16:AD17"/>
    <mergeCell ref="AE16:AE17"/>
    <mergeCell ref="AF16:AF17"/>
    <mergeCell ref="U16:U17"/>
    <mergeCell ref="V16:V17"/>
    <mergeCell ref="W16:W17"/>
    <mergeCell ref="X16:X17"/>
    <mergeCell ref="Y16:Y17"/>
    <mergeCell ref="Z16:Z17"/>
    <mergeCell ref="O16:O17"/>
    <mergeCell ref="P16:P17"/>
    <mergeCell ref="Q16:Q17"/>
    <mergeCell ref="R16:R17"/>
    <mergeCell ref="S16:S17"/>
    <mergeCell ref="T16:T17"/>
    <mergeCell ref="H16:H17"/>
    <mergeCell ref="I16:I17"/>
    <mergeCell ref="J16:J17"/>
    <mergeCell ref="K16:K17"/>
    <mergeCell ref="L16:M17"/>
    <mergeCell ref="N16:N17"/>
    <mergeCell ref="L15:M15"/>
    <mergeCell ref="AC15:AD15"/>
    <mergeCell ref="AF15:AG15"/>
    <mergeCell ref="BE15:BF15"/>
    <mergeCell ref="B16:B17"/>
    <mergeCell ref="C16:C17"/>
    <mergeCell ref="D16:D17"/>
    <mergeCell ref="E16:E17"/>
    <mergeCell ref="F16:F17"/>
    <mergeCell ref="G16:G17"/>
    <mergeCell ref="L13:M13"/>
    <mergeCell ref="AC13:AD13"/>
    <mergeCell ref="AF13:AG13"/>
    <mergeCell ref="AN13:AO13"/>
    <mergeCell ref="BD13:BE13"/>
    <mergeCell ref="L14:M14"/>
    <mergeCell ref="AC14:AD14"/>
    <mergeCell ref="AF14:AG14"/>
    <mergeCell ref="L11:M11"/>
    <mergeCell ref="AC11:AD11"/>
    <mergeCell ref="AF11:AG11"/>
    <mergeCell ref="AN11:AO11"/>
    <mergeCell ref="BD11:BE11"/>
    <mergeCell ref="L12:M12"/>
    <mergeCell ref="AD12:AE12"/>
    <mergeCell ref="AF12:AG12"/>
    <mergeCell ref="AN12:AO12"/>
    <mergeCell ref="BD12:BE12"/>
    <mergeCell ref="AD9:AE9"/>
    <mergeCell ref="AF9:AG9"/>
    <mergeCell ref="AN9:AO9"/>
    <mergeCell ref="BD9:BE9"/>
    <mergeCell ref="L10:M10"/>
    <mergeCell ref="AC10:AD10"/>
    <mergeCell ref="AF10:AG10"/>
    <mergeCell ref="AN10:AO10"/>
    <mergeCell ref="BD10:BE10"/>
    <mergeCell ref="AD7:AE7"/>
    <mergeCell ref="AF7:AG7"/>
    <mergeCell ref="BD7:BE7"/>
    <mergeCell ref="AD8:AE8"/>
    <mergeCell ref="AF8:AG8"/>
    <mergeCell ref="BD8:BE8"/>
    <mergeCell ref="AD5:AE5"/>
    <mergeCell ref="AF5:AG5"/>
    <mergeCell ref="BD5:BE5"/>
    <mergeCell ref="AD6:AE6"/>
    <mergeCell ref="AF6:AG6"/>
    <mergeCell ref="BD6:BE6"/>
    <mergeCell ref="AC3:AD3"/>
    <mergeCell ref="AF3:AG3"/>
    <mergeCell ref="AN3:AO3"/>
    <mergeCell ref="BD3:BE3"/>
    <mergeCell ref="AD4:AE4"/>
    <mergeCell ref="AF4:AG4"/>
    <mergeCell ref="AL4:AM4"/>
    <mergeCell ref="AN4:AO4"/>
    <mergeCell ref="BD4:BE4"/>
    <mergeCell ref="E1:J1"/>
    <mergeCell ref="AC1:AD1"/>
    <mergeCell ref="AF1:AG1"/>
    <mergeCell ref="AN1:AO1"/>
    <mergeCell ref="BD1:BE1"/>
    <mergeCell ref="L2:M2"/>
    <mergeCell ref="AC2:AD2"/>
    <mergeCell ref="AF2:AG2"/>
    <mergeCell ref="AN2:AO2"/>
    <mergeCell ref="BD2:BE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11C3FEFFEFCF44990405A8404263A2" ma:contentTypeVersion="4" ma:contentTypeDescription="Create a new document." ma:contentTypeScope="" ma:versionID="3dc4baf5bca6f50981051f1202939c23">
  <xsd:schema xmlns:xsd="http://www.w3.org/2001/XMLSchema" xmlns:xs="http://www.w3.org/2001/XMLSchema" xmlns:p="http://schemas.microsoft.com/office/2006/metadata/properties" xmlns:ns2="79a1cdf2-2d4f-42d7-aee4-ff0e208e0f4a" targetNamespace="http://schemas.microsoft.com/office/2006/metadata/properties" ma:root="true" ma:fieldsID="1497dbabdd8844cfa90d09d2bdc2ce45" ns2:_="">
    <xsd:import namespace="79a1cdf2-2d4f-42d7-aee4-ff0e208e0f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a1cdf2-2d4f-42d7-aee4-ff0e208e0f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3E9B01-9FF8-4802-9C57-A3719FBA2432}"/>
</file>

<file path=customXml/itemProps2.xml><?xml version="1.0" encoding="utf-8"?>
<ds:datastoreItem xmlns:ds="http://schemas.openxmlformats.org/officeDocument/2006/customXml" ds:itemID="{541C9CC6-362A-4449-A9BC-32782A3953E9}"/>
</file>

<file path=customXml/itemProps3.xml><?xml version="1.0" encoding="utf-8"?>
<ds:datastoreItem xmlns:ds="http://schemas.openxmlformats.org/officeDocument/2006/customXml" ds:itemID="{30D94C08-3D2A-4EAF-94A4-C86FB58DAF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Andrew Johnson</cp:lastModifiedBy>
  <cp:revision/>
  <dcterms:created xsi:type="dcterms:W3CDTF">2025-10-30T21:22:23Z</dcterms:created>
  <dcterms:modified xsi:type="dcterms:W3CDTF">2025-10-30T21:31:12Z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0x010100B011C3FEFFEFCF44990405A8404263A2</vt:lpwstr>
  </property>
</Properties>
</file>