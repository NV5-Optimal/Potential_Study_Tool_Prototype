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market_inputs/input/"/>
    </mc:Choice>
  </mc:AlternateContent>
  <xr:revisionPtr revIDLastSave="113" documentId="11_CBBF0E96895A3475DC461CCF33652BCD3DED4083" xr6:coauthVersionLast="47" xr6:coauthVersionMax="47" xr10:uidLastSave="{A750A81B-905E-4958-A9E1-1155B6E43FC1}"/>
  <bookViews>
    <workbookView xWindow="-120" yWindow="-120" windowWidth="29040" windowHeight="15720" xr2:uid="{00000000-000D-0000-FFFF-FFFF00000000}"/>
  </bookViews>
  <sheets>
    <sheet name="loadshapes" sheetId="1" r:id="rId1"/>
    <sheet name="Sheet2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F14" i="1"/>
  <c r="G14" i="1"/>
  <c r="H14" i="1"/>
  <c r="I14" i="1"/>
  <c r="D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A1" authorId="0" shapeId="0" xr:uid="{E6250DEF-EE6D-44F3-8BD4-F94D47836C53}">
      <text>
        <r>
          <rPr>
            <sz val="11"/>
            <color theme="1"/>
            <rFont val="Aptos Narrow"/>
            <family val="2"/>
            <scheme val="minor"/>
          </rPr>
          <t xml:space="preserve">Andrew Johnson:
make this at the enduse level - savings will already be at enduse 
Can add all enduses and fuels to the total
Do we have set definitions for Periods
8 capacity periods
8 energy periods
</t>
        </r>
      </text>
    </comment>
    <comment ref="D1" authorId="0" shapeId="0" xr:uid="{262B7E9C-1C04-481B-A6B4-980D3846A30A}">
      <text>
        <r>
          <rPr>
            <sz val="11"/>
            <color theme="1"/>
            <rFont val="Aptos Narrow"/>
            <family val="2"/>
            <scheme val="minor"/>
          </rPr>
          <t>Andrew Johnson:
Column name is weird but for now the code is making sure that it matches with the other relevant files</t>
        </r>
      </text>
    </comment>
  </commentList>
</comments>
</file>

<file path=xl/sharedStrings.xml><?xml version="1.0" encoding="utf-8"?>
<sst xmlns="http://schemas.openxmlformats.org/spreadsheetml/2006/main" count="68" uniqueCount="44">
  <si>
    <t>condition_name</t>
  </si>
  <si>
    <t>competition_group</t>
  </si>
  <si>
    <t>subgroup</t>
  </si>
  <si>
    <t>summer_on-peak</t>
  </si>
  <si>
    <t>summer_off-peak</t>
  </si>
  <si>
    <t>winter_on-peak</t>
  </si>
  <si>
    <t>winter_off-peak</t>
  </si>
  <si>
    <t>shoulder_on-peak</t>
  </si>
  <si>
    <t>shoulder_off-peak</t>
  </si>
  <si>
    <t>summer_gener_capacity</t>
  </si>
  <si>
    <t>winter_gener_capacity</t>
  </si>
  <si>
    <t>summer_tandd</t>
  </si>
  <si>
    <t>winter_tandd</t>
  </si>
  <si>
    <t>furnace_fuel_oil_existing_residential</t>
  </si>
  <si>
    <t>heating_cooling</t>
  </si>
  <si>
    <t>oil_furnace</t>
  </si>
  <si>
    <t>furnace_natural_gas_baseline_residential</t>
  </si>
  <si>
    <t>gas_furnace</t>
  </si>
  <si>
    <t>furnace_natural_gas_efficient_residential</t>
  </si>
  <si>
    <t>room_ac_electricity_baseline_residential</t>
  </si>
  <si>
    <t>room_ac</t>
  </si>
  <si>
    <t>room_ac_electricity_efficient_residential</t>
  </si>
  <si>
    <t>air_conditioner_electricity_baseline_residential</t>
  </si>
  <si>
    <t>central_ac</t>
  </si>
  <si>
    <t>air_conditioner_electricity_efficient_residential</t>
  </si>
  <si>
    <t>cchp_electricity_efficient_residential</t>
  </si>
  <si>
    <t>cchp</t>
  </si>
  <si>
    <t>refrigerator_electricity_existing_residential</t>
  </si>
  <si>
    <t>refrigeration</t>
  </si>
  <si>
    <t>full_size</t>
  </si>
  <si>
    <t>refrigerator_electricity_baseline_residential</t>
  </si>
  <si>
    <t>refrigerator_electricity_efficient_residential</t>
  </si>
  <si>
    <t>refrigerator_electricity_top10_residential</t>
  </si>
  <si>
    <t>whole_home_insultation_existing_residential</t>
  </si>
  <si>
    <t>whole_home</t>
  </si>
  <si>
    <t>none</t>
  </si>
  <si>
    <t>whole_home_insultation_baseline_residential</t>
  </si>
  <si>
    <t>whole_home_insultation_efficient_residential</t>
  </si>
  <si>
    <t>Wall Insulation_Res, E - Heat [Elec Heating] _Multifamily_Space Heating</t>
  </si>
  <si>
    <t>Wall Insulation_Res, E - Cool [Elec Heating] _Multifamily_Cooling</t>
  </si>
  <si>
    <t>Load shapes are only needed for the efficient technology</t>
  </si>
  <si>
    <t>Will need to add the list of efficient measures and this sheet's output to the module Matt requested</t>
  </si>
  <si>
    <t>insulation_natural_gas_efficient_residential</t>
  </si>
  <si>
    <t>HERS_electric_efficient_residential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</si>
</sst>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Helv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4" fillId="0" borderId="0" xfId="0" applyFont="1"/>
    <xf numFmtId="164" fontId="1" fillId="2" borderId="1" xfId="1" applyNumberFormat="1" applyFill="1" applyBorder="1" applyProtection="1">
      <protection locked="0"/>
    </xf>
    <xf numFmtId="164" fontId="5" fillId="2" borderId="1" xfId="1" applyNumberFormat="1" applyFont="1" applyFill="1" applyBorder="1" applyProtection="1">
      <protection locked="0"/>
    </xf>
    <xf numFmtId="0" fontId="5" fillId="2" borderId="1" xfId="2" applyFont="1" applyFill="1" applyBorder="1" applyProtection="1">
      <protection locked="0"/>
    </xf>
  </cellXfs>
  <cellStyles count="3">
    <cellStyle name="Normal" xfId="0" builtinId="0"/>
    <cellStyle name="Normal_PST Maine Triennial Plan" xfId="2" xr:uid="{14ECC767-CF4D-4D2F-A4A8-0F2E3142C260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B16" sqref="B16:C18"/>
    </sheetView>
  </sheetViews>
  <sheetFormatPr defaultRowHeight="15" x14ac:dyDescent="0.25"/>
  <cols>
    <col min="1" max="1" width="42.85546875" customWidth="1"/>
    <col min="2" max="2" width="18.140625" customWidth="1"/>
    <col min="3" max="3" width="15.5703125" customWidth="1"/>
    <col min="4" max="4" width="15" customWidth="1"/>
    <col min="5" max="5" width="14.140625" customWidth="1"/>
    <col min="6" max="6" width="14.85546875" customWidth="1"/>
    <col min="7" max="7" width="12.5703125" customWidth="1"/>
    <col min="10" max="10" width="22.85546875" customWidth="1"/>
    <col min="11" max="11" width="22.5703125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5">
      <c r="A2" s="3" t="s">
        <v>13</v>
      </c>
      <c r="B2" s="3" t="s">
        <v>14</v>
      </c>
      <c r="C2" s="3" t="s">
        <v>15</v>
      </c>
      <c r="D2" s="3">
        <v>7.8778425231575966E-3</v>
      </c>
      <c r="E2" s="3">
        <v>1.8345799297094345E-2</v>
      </c>
      <c r="F2" s="3">
        <v>0.28181183338165283</v>
      </c>
      <c r="G2" s="3">
        <v>0.36880850791931152</v>
      </c>
      <c r="H2" s="3">
        <v>0.12986405193805695</v>
      </c>
      <c r="I2" s="3">
        <v>0.19329194724559784</v>
      </c>
      <c r="J2" s="3">
        <v>0</v>
      </c>
      <c r="K2" s="3">
        <v>0.3810066126706862</v>
      </c>
      <c r="L2" s="3">
        <v>0</v>
      </c>
      <c r="M2" s="3">
        <v>0.3810066126706862</v>
      </c>
      <c r="N2" s="3"/>
    </row>
    <row r="3" spans="1:14" x14ac:dyDescent="0.25">
      <c r="A3" s="3" t="s">
        <v>16</v>
      </c>
      <c r="B3" s="3" t="s">
        <v>14</v>
      </c>
      <c r="C3" s="3" t="s">
        <v>17</v>
      </c>
      <c r="D3" s="3">
        <v>7.8778425231575966E-3</v>
      </c>
      <c r="E3" s="3">
        <v>1.8345799297094345E-2</v>
      </c>
      <c r="F3" s="3">
        <v>0.28181183338165283</v>
      </c>
      <c r="G3" s="3">
        <v>0.36880850791931152</v>
      </c>
      <c r="H3" s="3">
        <v>0.12986405193805695</v>
      </c>
      <c r="I3" s="3">
        <v>0.19329194724559784</v>
      </c>
      <c r="J3" s="3">
        <v>0</v>
      </c>
      <c r="K3" s="3">
        <v>0.3810066126706862</v>
      </c>
      <c r="L3" s="3">
        <v>0</v>
      </c>
      <c r="M3" s="3">
        <v>0.3810066126706862</v>
      </c>
      <c r="N3" s="3"/>
    </row>
    <row r="4" spans="1:14" x14ac:dyDescent="0.25">
      <c r="A4" s="3" t="s">
        <v>18</v>
      </c>
      <c r="B4" s="3" t="s">
        <v>14</v>
      </c>
      <c r="C4" s="3" t="s">
        <v>17</v>
      </c>
      <c r="D4" s="3">
        <v>7.8778425231575966E-3</v>
      </c>
      <c r="E4" s="3">
        <v>1.8345799297094345E-2</v>
      </c>
      <c r="F4" s="3">
        <v>0.28181183338165283</v>
      </c>
      <c r="G4" s="3">
        <v>0.36880850791931152</v>
      </c>
      <c r="H4" s="3">
        <v>0.12986405193805695</v>
      </c>
      <c r="I4" s="3">
        <v>0.19329194724559784</v>
      </c>
      <c r="J4" s="3">
        <v>0</v>
      </c>
      <c r="K4" s="3">
        <v>0.3810066126706862</v>
      </c>
      <c r="L4" s="3">
        <v>0</v>
      </c>
      <c r="M4" s="3">
        <v>0.3810066126706862</v>
      </c>
      <c r="N4" s="3"/>
    </row>
    <row r="5" spans="1:14" x14ac:dyDescent="0.25">
      <c r="A5" s="3" t="s">
        <v>19</v>
      </c>
      <c r="B5" s="3" t="s">
        <v>14</v>
      </c>
      <c r="C5" s="3" t="s">
        <v>20</v>
      </c>
      <c r="D5" s="3">
        <v>0.49062061309814453</v>
      </c>
      <c r="E5" s="3">
        <v>0.37157672643661499</v>
      </c>
      <c r="F5" s="3">
        <v>2.0993791520595551E-2</v>
      </c>
      <c r="G5" s="3">
        <v>2.6758521795272827E-2</v>
      </c>
      <c r="H5" s="3">
        <v>4.8400141298770905E-2</v>
      </c>
      <c r="I5" s="3">
        <v>4.1650202125310898E-2</v>
      </c>
      <c r="J5" s="3">
        <v>0.37286116117435042</v>
      </c>
      <c r="K5" s="3">
        <v>0</v>
      </c>
      <c r="L5" s="3">
        <v>0.37286116117435042</v>
      </c>
      <c r="M5" s="3">
        <v>0</v>
      </c>
      <c r="N5" s="3"/>
    </row>
    <row r="6" spans="1:14" x14ac:dyDescent="0.25">
      <c r="A6" s="3" t="s">
        <v>21</v>
      </c>
      <c r="B6" s="3" t="s">
        <v>14</v>
      </c>
      <c r="C6" s="3" t="s">
        <v>20</v>
      </c>
      <c r="D6" s="3">
        <v>0.49062061309814453</v>
      </c>
      <c r="E6" s="3">
        <v>0.37157672643661499</v>
      </c>
      <c r="F6" s="3">
        <v>2.0993791520595551E-2</v>
      </c>
      <c r="G6" s="3">
        <v>2.6758521795272827E-2</v>
      </c>
      <c r="H6" s="3">
        <v>4.8400141298770905E-2</v>
      </c>
      <c r="I6" s="3">
        <v>4.1650202125310898E-2</v>
      </c>
      <c r="J6" s="3">
        <v>0.37286116117435042</v>
      </c>
      <c r="K6" s="3">
        <v>0</v>
      </c>
      <c r="L6" s="3">
        <v>0.37286116117435042</v>
      </c>
      <c r="M6" s="3">
        <v>0</v>
      </c>
      <c r="N6" s="3"/>
    </row>
    <row r="7" spans="1:14" x14ac:dyDescent="0.25">
      <c r="A7" s="3" t="s">
        <v>22</v>
      </c>
      <c r="B7" s="3" t="s">
        <v>14</v>
      </c>
      <c r="C7" s="3" t="s">
        <v>23</v>
      </c>
      <c r="D7" s="3">
        <v>0.49062061309814453</v>
      </c>
      <c r="E7" s="3">
        <v>0.37157672643661499</v>
      </c>
      <c r="F7" s="3">
        <v>2.0993791520595551E-2</v>
      </c>
      <c r="G7" s="3">
        <v>2.6758521795272827E-2</v>
      </c>
      <c r="H7" s="3">
        <v>4.8400141298770905E-2</v>
      </c>
      <c r="I7" s="3">
        <v>4.1650202125310898E-2</v>
      </c>
      <c r="J7" s="3">
        <v>0.37286116117435042</v>
      </c>
      <c r="K7" s="3">
        <v>0</v>
      </c>
      <c r="L7" s="3">
        <v>0.37286116117435042</v>
      </c>
      <c r="M7" s="3">
        <v>0</v>
      </c>
      <c r="N7" s="3"/>
    </row>
    <row r="8" spans="1:14" x14ac:dyDescent="0.25">
      <c r="A8" s="3" t="s">
        <v>24</v>
      </c>
      <c r="B8" s="3" t="s">
        <v>14</v>
      </c>
      <c r="C8" s="3" t="s">
        <v>23</v>
      </c>
      <c r="D8" s="3">
        <v>0.49062061309814453</v>
      </c>
      <c r="E8" s="3">
        <v>0.37157672643661499</v>
      </c>
      <c r="F8" s="3">
        <v>2.0993791520595551E-2</v>
      </c>
      <c r="G8" s="3">
        <v>2.6758521795272827E-2</v>
      </c>
      <c r="H8" s="3">
        <v>4.8400141298770905E-2</v>
      </c>
      <c r="I8" s="3">
        <v>4.1650202125310898E-2</v>
      </c>
      <c r="J8" s="3">
        <v>0.37286116117435042</v>
      </c>
      <c r="K8" s="3">
        <v>0</v>
      </c>
      <c r="L8" s="3">
        <v>0.37286116117435042</v>
      </c>
      <c r="M8" s="3">
        <v>0</v>
      </c>
      <c r="N8" s="3"/>
    </row>
    <row r="9" spans="1:14" x14ac:dyDescent="0.25">
      <c r="A9" s="3" t="s">
        <v>25</v>
      </c>
      <c r="B9" s="3" t="s">
        <v>14</v>
      </c>
      <c r="C9" s="3" t="s">
        <v>26</v>
      </c>
      <c r="D9" s="3">
        <v>0.49062061309814453</v>
      </c>
      <c r="E9" s="3">
        <v>0.37157672643661499</v>
      </c>
      <c r="F9" s="3">
        <v>2.0993791520595551E-2</v>
      </c>
      <c r="G9" s="3">
        <v>2.6758521795272827E-2</v>
      </c>
      <c r="H9" s="3">
        <v>4.8400141298770905E-2</v>
      </c>
      <c r="I9" s="3">
        <v>4.1650202125310898E-2</v>
      </c>
      <c r="J9" s="3">
        <v>0.37286116117435042</v>
      </c>
      <c r="K9" s="3">
        <v>0</v>
      </c>
      <c r="L9" s="3">
        <v>0.37286116117435042</v>
      </c>
      <c r="M9" s="3">
        <v>0</v>
      </c>
      <c r="N9" s="3"/>
    </row>
    <row r="10" spans="1:14" x14ac:dyDescent="0.25">
      <c r="A10" s="3" t="s">
        <v>27</v>
      </c>
      <c r="B10" s="3" t="s">
        <v>28</v>
      </c>
      <c r="C10" s="3" t="s">
        <v>29</v>
      </c>
      <c r="D10" s="3">
        <v>0.2208627313375473</v>
      </c>
      <c r="E10" s="3">
        <v>0.23739945888519287</v>
      </c>
      <c r="F10" s="3">
        <v>9.5015056431293488E-2</v>
      </c>
      <c r="G10" s="3">
        <v>0.11033865064382553</v>
      </c>
      <c r="H10" s="3">
        <v>0.16472350060939789</v>
      </c>
      <c r="I10" s="3">
        <v>0.17166060209274292</v>
      </c>
      <c r="J10" s="3">
        <v>1.186104</v>
      </c>
      <c r="K10" s="3">
        <v>0.88826399999999994</v>
      </c>
      <c r="L10" s="3">
        <v>1.186104</v>
      </c>
      <c r="M10" s="3">
        <v>0.88826399999999994</v>
      </c>
      <c r="N10" s="3"/>
    </row>
    <row r="11" spans="1:14" x14ac:dyDescent="0.25">
      <c r="A11" s="3" t="s">
        <v>30</v>
      </c>
      <c r="B11" s="3" t="s">
        <v>28</v>
      </c>
      <c r="C11" s="3" t="s">
        <v>29</v>
      </c>
      <c r="D11" s="3">
        <v>0.2208627313375473</v>
      </c>
      <c r="E11" s="3">
        <v>0.23739945888519287</v>
      </c>
      <c r="F11" s="3">
        <v>9.5015056431293488E-2</v>
      </c>
      <c r="G11" s="3">
        <v>0.11033865064382553</v>
      </c>
      <c r="H11" s="3">
        <v>0.16472350060939789</v>
      </c>
      <c r="I11" s="3">
        <v>0.17166060209274292</v>
      </c>
      <c r="J11" s="3">
        <v>1.186104</v>
      </c>
      <c r="K11" s="3">
        <v>0.88826399999999994</v>
      </c>
      <c r="L11" s="3">
        <v>1.186104</v>
      </c>
      <c r="M11" s="3">
        <v>0.88826399999999994</v>
      </c>
      <c r="N11" s="3"/>
    </row>
    <row r="12" spans="1:14" x14ac:dyDescent="0.25">
      <c r="A12" s="3" t="s">
        <v>31</v>
      </c>
      <c r="B12" s="3" t="s">
        <v>28</v>
      </c>
      <c r="C12" s="3" t="s">
        <v>29</v>
      </c>
      <c r="D12" s="3">
        <v>0.2208627313375473</v>
      </c>
      <c r="E12" s="3">
        <v>0.23739945888519287</v>
      </c>
      <c r="F12" s="3">
        <v>9.5015056431293488E-2</v>
      </c>
      <c r="G12" s="3">
        <v>0.11033865064382553</v>
      </c>
      <c r="H12" s="3">
        <v>0.16472350060939789</v>
      </c>
      <c r="I12" s="3">
        <v>0.17166060209274292</v>
      </c>
      <c r="J12" s="3">
        <v>1.186104</v>
      </c>
      <c r="K12" s="3">
        <v>0.88826399999999994</v>
      </c>
      <c r="L12" s="3">
        <v>1.186104</v>
      </c>
      <c r="M12" s="3">
        <v>0.88826399999999994</v>
      </c>
      <c r="N12" s="3"/>
    </row>
    <row r="13" spans="1:14" x14ac:dyDescent="0.25">
      <c r="A13" s="3" t="s">
        <v>32</v>
      </c>
      <c r="B13" s="3" t="s">
        <v>28</v>
      </c>
      <c r="C13" s="3" t="s">
        <v>29</v>
      </c>
      <c r="D13" s="3">
        <v>0.2208627313375473</v>
      </c>
      <c r="E13" s="3">
        <v>0.23739945888519287</v>
      </c>
      <c r="F13" s="3">
        <v>9.5015056431293488E-2</v>
      </c>
      <c r="G13" s="3">
        <v>0.11033865064382553</v>
      </c>
      <c r="H13" s="3">
        <v>0.16472350060939789</v>
      </c>
      <c r="I13" s="3">
        <v>0.17166060209274292</v>
      </c>
      <c r="J13" s="3">
        <v>1.186104</v>
      </c>
      <c r="K13" s="3">
        <v>0.88826399999999994</v>
      </c>
      <c r="L13" s="3">
        <v>1.186104</v>
      </c>
      <c r="M13" s="3">
        <v>0.88826399999999994</v>
      </c>
      <c r="N13" s="3"/>
    </row>
    <row r="14" spans="1:14" x14ac:dyDescent="0.25">
      <c r="A14" s="3" t="s">
        <v>33</v>
      </c>
      <c r="B14" s="3" t="s">
        <v>34</v>
      </c>
      <c r="C14" s="3" t="s">
        <v>35</v>
      </c>
      <c r="D14" s="3">
        <f>AVERAGE(Sheet2!B1:B2)</f>
        <v>0.24213783419691026</v>
      </c>
      <c r="E14" s="3">
        <f>AVERAGE(Sheet2!C1:C2)</f>
        <v>0.19750067032873631</v>
      </c>
      <c r="F14" s="3">
        <f>AVERAGE(Sheet2!D1:D2)</f>
        <v>0.15198543108999729</v>
      </c>
      <c r="G14" s="3">
        <f>AVERAGE(Sheet2!E1:E2)</f>
        <v>0.20428621582686901</v>
      </c>
      <c r="H14" s="3">
        <f>AVERAGE(Sheet2!F1:F2)</f>
        <v>8.8423352688550949E-2</v>
      </c>
      <c r="I14" s="3">
        <f>AVERAGE(Sheet2!G1:G2)</f>
        <v>0.11566651985049248</v>
      </c>
      <c r="J14" s="3">
        <v>0.37286116117435042</v>
      </c>
      <c r="K14" s="3">
        <v>0.3810066126706862</v>
      </c>
      <c r="L14" s="3">
        <v>0.37286116117435042</v>
      </c>
      <c r="M14" s="3">
        <v>0.3810066126706862</v>
      </c>
      <c r="N14" s="3"/>
    </row>
    <row r="15" spans="1:14" x14ac:dyDescent="0.25">
      <c r="A15" s="3" t="s">
        <v>36</v>
      </c>
      <c r="B15" s="3" t="s">
        <v>34</v>
      </c>
      <c r="C15" s="3" t="s">
        <v>35</v>
      </c>
      <c r="D15" s="3">
        <v>0.24213783419691026</v>
      </c>
      <c r="E15" s="3">
        <v>0.19750067032873631</v>
      </c>
      <c r="F15" s="3">
        <v>0.15198543108999729</v>
      </c>
      <c r="G15" s="3">
        <v>0.20428621582686901</v>
      </c>
      <c r="H15" s="3">
        <v>8.8423352688550949E-2</v>
      </c>
      <c r="I15" s="3">
        <v>0.11566651985049248</v>
      </c>
      <c r="J15" s="3">
        <v>0.37286116117435042</v>
      </c>
      <c r="K15" s="3">
        <v>0.3810066126706862</v>
      </c>
      <c r="L15" s="3">
        <v>0.37286116117435042</v>
      </c>
      <c r="M15" s="3">
        <v>0.3810066126706862</v>
      </c>
      <c r="N15" s="3"/>
    </row>
    <row r="16" spans="1:14" x14ac:dyDescent="0.25">
      <c r="A16" s="3" t="s">
        <v>37</v>
      </c>
      <c r="B16" s="3" t="s">
        <v>34</v>
      </c>
      <c r="C16" s="3" t="s">
        <v>35</v>
      </c>
      <c r="D16" s="3">
        <v>0.24213783419691026</v>
      </c>
      <c r="E16" s="3">
        <v>0.19750067032873631</v>
      </c>
      <c r="F16" s="3">
        <v>0.15198543108999729</v>
      </c>
      <c r="G16" s="3">
        <v>0.20428621582686901</v>
      </c>
      <c r="H16" s="3">
        <v>8.8423352688550949E-2</v>
      </c>
      <c r="I16" s="3">
        <v>0.11566651985049248</v>
      </c>
      <c r="J16" s="3">
        <v>0.37286116117435042</v>
      </c>
      <c r="K16" s="3">
        <v>0.3810066126706862</v>
      </c>
      <c r="L16" s="3">
        <v>0.37286116117435042</v>
      </c>
      <c r="M16" s="3">
        <v>0.3810066126706862</v>
      </c>
      <c r="N16" s="3"/>
    </row>
    <row r="17" spans="1:14" x14ac:dyDescent="0.25">
      <c r="A17" s="3" t="s">
        <v>42</v>
      </c>
      <c r="B17" s="3" t="s">
        <v>34</v>
      </c>
      <c r="C17" s="3" t="s">
        <v>35</v>
      </c>
      <c r="D17" s="3">
        <v>0.24213783419691026</v>
      </c>
      <c r="E17" s="3">
        <v>0.19750067032873631</v>
      </c>
      <c r="F17" s="3">
        <v>0.15198543108999729</v>
      </c>
      <c r="G17" s="3">
        <v>0.20428621582686901</v>
      </c>
      <c r="H17" s="3">
        <v>8.8423352688550949E-2</v>
      </c>
      <c r="I17" s="3">
        <v>0.11566651985049248</v>
      </c>
      <c r="J17" s="3">
        <v>0.37286116117435042</v>
      </c>
      <c r="K17" s="3">
        <v>0.3810066126706862</v>
      </c>
      <c r="L17" s="3">
        <v>0.37286116117435042</v>
      </c>
      <c r="M17" s="3">
        <v>0.3810066126706862</v>
      </c>
      <c r="N17" s="3"/>
    </row>
    <row r="18" spans="1:14" x14ac:dyDescent="0.25">
      <c r="A18" s="3" t="s">
        <v>43</v>
      </c>
      <c r="B18" s="3" t="s">
        <v>34</v>
      </c>
      <c r="C18" s="3" t="s">
        <v>35</v>
      </c>
      <c r="D18" s="3">
        <v>0.24213783419691026</v>
      </c>
      <c r="E18" s="3">
        <v>0.19750067032873631</v>
      </c>
      <c r="F18" s="3">
        <v>0.15198543108999729</v>
      </c>
      <c r="G18" s="3">
        <v>0.20428621582686901</v>
      </c>
      <c r="H18" s="3">
        <v>8.8423352688550949E-2</v>
      </c>
      <c r="I18" s="3">
        <v>0.11566651985049248</v>
      </c>
      <c r="J18" s="3">
        <v>0.37286116117435042</v>
      </c>
      <c r="K18" s="3">
        <v>0.3810066126706862</v>
      </c>
      <c r="L18" s="3">
        <v>0.37286116117435042</v>
      </c>
      <c r="M18" s="3">
        <v>0.3810066126706862</v>
      </c>
      <c r="N18" s="3"/>
    </row>
    <row r="19" spans="1:1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</sheetData>
  <dataValidations count="1">
    <dataValidation type="decimal" allowBlank="1" showInputMessage="1" showErrorMessage="1" sqref="D2:I13 J2:M4 J5:J9 L5:L9 J10:M18" xr:uid="{89F920E6-782C-4A76-9D27-5BF3B977A058}">
      <formula1>0</formula1>
      <formula2>1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8C59-CF5A-47F4-9750-D5E7312776B6}">
  <dimension ref="A1:G2"/>
  <sheetViews>
    <sheetView workbookViewId="0">
      <selection sqref="A1:G2"/>
    </sheetView>
  </sheetViews>
  <sheetFormatPr defaultRowHeight="15" x14ac:dyDescent="0.25"/>
  <sheetData>
    <row r="1" spans="1:7" x14ac:dyDescent="0.25">
      <c r="A1" s="7" t="s">
        <v>38</v>
      </c>
      <c r="B1" s="5">
        <v>5.4986770264804363E-3</v>
      </c>
      <c r="C1" s="5">
        <v>1.5363741666078568E-2</v>
      </c>
      <c r="D1" s="5">
        <v>0.28741943836212158</v>
      </c>
      <c r="E1" s="5">
        <v>0.38815444707870483</v>
      </c>
      <c r="F1" s="6">
        <v>0.11768850684165955</v>
      </c>
      <c r="G1" s="6">
        <v>0.18587517738342285</v>
      </c>
    </row>
    <row r="2" spans="1:7" x14ac:dyDescent="0.25">
      <c r="A2" s="7" t="s">
        <v>39</v>
      </c>
      <c r="B2" s="5">
        <v>0.47877699136734009</v>
      </c>
      <c r="C2" s="5">
        <v>0.37963759899139404</v>
      </c>
      <c r="D2" s="5">
        <v>1.6551423817873001E-2</v>
      </c>
      <c r="E2" s="5">
        <v>2.0417984575033188E-2</v>
      </c>
      <c r="F2" s="6">
        <v>5.9158198535442352E-2</v>
      </c>
      <c r="G2" s="6">
        <v>4.5457862317562103E-2</v>
      </c>
    </row>
  </sheetData>
  <dataValidations count="1">
    <dataValidation type="decimal" allowBlank="1" showInputMessage="1" showErrorMessage="1" sqref="B1:G2" xr:uid="{1E1A4426-6792-4A51-BB1D-0DEE3A92DCD1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A18C-6DD3-4413-99B9-3AD02F70F32F}">
  <dimension ref="B2:B4"/>
  <sheetViews>
    <sheetView workbookViewId="0">
      <selection activeCell="B4" sqref="B4"/>
    </sheetView>
  </sheetViews>
  <sheetFormatPr defaultRowHeight="15" x14ac:dyDescent="0.25"/>
  <sheetData>
    <row r="2" spans="2:2" x14ac:dyDescent="0.25">
      <c r="B2" t="s">
        <v>40</v>
      </c>
    </row>
    <row r="4" spans="2:2" x14ac:dyDescent="0.25">
      <c r="B4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49A0F9-2E81-44C2-A3FE-722A90566C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F85AE-6301-4275-977D-807ADA1E60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048B02C-DCD9-4760-9A3E-6C762E5E04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loadshapes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2025-10-14T15:12:12Z</dcterms:created>
  <dcterms:modified xsi:type="dcterms:W3CDTF">2025-11-19T16:52:58Z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